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3cd38b379a508/Documents/"/>
    </mc:Choice>
  </mc:AlternateContent>
  <xr:revisionPtr revIDLastSave="9" documentId="8_{4C0FA1D0-D81D-4F55-9E70-03D835E9D74D}" xr6:coauthVersionLast="47" xr6:coauthVersionMax="47" xr10:uidLastSave="{B1B00627-10E6-4389-B9F8-1AE89E3BA7F2}"/>
  <bookViews>
    <workbookView xWindow="-108" yWindow="-108" windowWidth="23256" windowHeight="13176" xr2:uid="{5706A29F-A422-4304-A623-386A47817827}"/>
  </bookViews>
  <sheets>
    <sheet name="Sheet1" sheetId="1" r:id="rId1"/>
  </sheets>
  <definedNames>
    <definedName name="_xlnm._FilterDatabase" localSheetId="0" hidden="1">Sheet1!$B$3:$H$3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4" i="1"/>
  <c r="P5" i="1"/>
  <c r="P6" i="1"/>
  <c r="P7" i="1"/>
  <c r="P8" i="1"/>
  <c r="P9" i="1"/>
  <c r="P10" i="1"/>
  <c r="P11" i="1"/>
  <c r="P12" i="1"/>
  <c r="P13" i="1"/>
  <c r="P4" i="1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<sst xmlns="http://schemas.openxmlformats.org/spreadsheetml/2006/main" count="48" uniqueCount="38">
  <si>
    <t>Calon Mahasiswa Baru</t>
  </si>
  <si>
    <t xml:space="preserve">Saya masih bingung menentukan jurusan atau bidang yang paling sesuai dengan minat saya. </t>
  </si>
  <si>
    <t>STS (1)</t>
  </si>
  <si>
    <t>TS (2)</t>
  </si>
  <si>
    <t>N (3)</t>
  </si>
  <si>
    <t>S (4)</t>
  </si>
  <si>
    <t>SS (5)</t>
  </si>
  <si>
    <t xml:space="preserve">Saya belum mengetahui potensi dan kemampuan yang paling dominan dalam diri saya. </t>
  </si>
  <si>
    <t xml:space="preserve">Saya memilih jurusan atau bidang studi berdasarkan saran orang lain atau tren yang sedang populer. </t>
  </si>
  <si>
    <t xml:space="preserve">Saya membutuhkan arahan untuk menentukan pengembangan diri yang sesuai dengan tujuan karier saya. </t>
  </si>
  <si>
    <t xml:space="preserve">Saya merasa informasi mengenai kompetensi lulusan dan dunia kerja masih kurang jelas. </t>
  </si>
  <si>
    <t xml:space="preserve">Saya tertarik mengikuti kegiatan pengembangan diri yang sesuai dengan minat dan kemampuan saya. </t>
  </si>
  <si>
    <t xml:space="preserve">Saya merasa informasi mengenai kegiatan pengembangan mahasiswa masih tersebar dan sulit ditemukan. </t>
  </si>
  <si>
    <t xml:space="preserve">Saya membutuhkan sistem yang dapat membantu memberikan rekomendasi pengembangan diri secara objektif. </t>
  </si>
  <si>
    <t xml:space="preserve">Saya setuju bahwa data minat dan karakteristik individu dapat digunakan untuk membantu menentukan arah pengembangan diri. </t>
  </si>
  <si>
    <t xml:space="preserve">Saya tertarik menggunakan sistem berbasis teknologi yang dapat memberikan rekomendasi pengembangan diri secara personal. </t>
  </si>
  <si>
    <t>Mahasiswa Aktif</t>
  </si>
  <si>
    <t>Saya masih mengalami kesulitan menentukan arah pengembangan diri selama kuliah.</t>
  </si>
  <si>
    <t>Saya belum mengetahui kompetensi yang paling sesuai dengan minat dan potensi saya.</t>
  </si>
  <si>
    <t xml:space="preserve">Saya pernah memilih organisasi, pelatihan, atau kegiatan kampus berdasarkan pengaruh teman atau tren tertentu. </t>
  </si>
  <si>
    <t xml:space="preserve">Saya merasa keputusan pengembangan diri yang saya ambil masih bersifat subjektif. </t>
  </si>
  <si>
    <t xml:space="preserve">Saya belum memahami keterkaitan kurikulum dengan kompetensi yang harus dikembangkan mahasiswa. </t>
  </si>
  <si>
    <t xml:space="preserve">Informasi mengenai kegiatan pengembangan akademik dan non-akademik masih sulit diakses secara terstruktur. </t>
  </si>
  <si>
    <t xml:space="preserve">Saya membutuhkan sistem yang dapat membantu merekomendasikan pengembangan diri berdasarkan karakteristik pribadi saya. </t>
  </si>
  <si>
    <t xml:space="preserve">Saya merasa data minat, gaya belajar, dan tujuan karier dapat membantu proses pengembangan mahasiswa. </t>
  </si>
  <si>
    <t xml:space="preserve">Saya setuju bahwa teknologi machine learning dapat membantu menghasilkan rekomendasi pengembangan mahasiswa yang lebih objektif. </t>
  </si>
  <si>
    <t>Saya tertarik menggunakan sistem rekomendasi pengembangan mahasiswa berbasis web.</t>
  </si>
  <si>
    <t>Alumni</t>
  </si>
  <si>
    <t xml:space="preserve">Saya mengalami kesulitan menentukan arah pengembangan diri selama masa perkuliahan. </t>
  </si>
  <si>
    <t xml:space="preserve">Saya merasa pilihan kegiatan atau organisasi saat kuliah belum sepenuhnya sesuai dengan minat dan potensi saya. </t>
  </si>
  <si>
    <t xml:space="preserve">Saya memilih beberapa kegiatan selama kuliah berdasarkan pengaruh lingkungan atau tren tertentu. </t>
  </si>
  <si>
    <t xml:space="preserve">Saya merasa kurikulum perkuliahan belum membantu memetakan kompetensi diri secara optimal. </t>
  </si>
  <si>
    <t xml:space="preserve">Saya merasa informasi mengenai pengembangan akademik dan non-akademik masih kurang terstruktur saat kuliah. </t>
  </si>
  <si>
    <t xml:space="preserve">Pekerjaan saya saat ini sesuai dengan bidang atau kompetensi yang saya pelajari selama kuliah. </t>
  </si>
  <si>
    <t xml:space="preserve">Pekerjaan saya saat ini sesuai dengan minat dan tujuan karier yang saya miliki. </t>
  </si>
  <si>
    <t xml:space="preserve">Saya merasa pengembangan diri selama kuliah berpengaruh terhadap kesiapan kerja setelah lulus. </t>
  </si>
  <si>
    <t xml:space="preserve">Saya setuju bahwa sistem rekomendasi berbasis data dapat membantu mahasiswa menentukan arah pengembangan diri yang lebih tepat. </t>
  </si>
  <si>
    <t xml:space="preserve">Saya mendukung pengembangan sistem berbasis machine learning untuk membantu rekomendasi pengembangan mahasiswa.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</si>
</sst>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9" fontId="2" fillId="0" borderId="0" xfId="1" applyFont="1"/>
    <xf numFmtId="0" fontId="2" fillId="0" borderId="0" xfId="0" applyFont="1" applyAlignment="1">
      <alignment vertical="center" wrapText="1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BD5D-C77A-4D00-8863-E58B9BA7A836}">
  <dimension ref="B3:W13"/>
  <sheetViews>
    <sheetView tabSelected="1" topLeftCell="I1" zoomScale="55" zoomScaleNormal="55" workbookViewId="0">
      <pane ySplit="3" topLeftCell="A4" activePane="bottomLeft" state="frozen"/>
      <selection activeCell="B1" sqref="B1"/>
      <selection pane="bottomLeft" activeCell="O4" sqref="O4"/>
    </sheetView>
  </sheetViews>
  <sheetFormatPr defaultRowHeight="15.6" x14ac:dyDescent="0.3"/>
  <cols>
    <col min="1" max="2" width="8.88671875" style="1"/>
    <col min="3" max="3" width="24.33203125" style="1" customWidth="1"/>
    <col min="4" max="8" width="8.88671875" style="1"/>
    <col min="9" max="9" width="8.88671875" style="2"/>
    <col min="10" max="10" width="29.44140625" style="8" customWidth="1"/>
    <col min="11" max="16" width="8.88671875" style="1"/>
    <col min="17" max="17" width="27.21875" style="8" customWidth="1"/>
    <col min="18" max="16384" width="8.88671875" style="1"/>
  </cols>
  <sheetData>
    <row r="3" spans="2:23" x14ac:dyDescent="0.3">
      <c r="C3" s="1" t="s">
        <v>0</v>
      </c>
      <c r="D3" s="1" t="s">
        <v>6</v>
      </c>
      <c r="E3" s="1" t="s">
        <v>5</v>
      </c>
      <c r="F3" s="1" t="s">
        <v>4</v>
      </c>
      <c r="G3" s="1" t="s">
        <v>3</v>
      </c>
      <c r="H3" s="1" t="s">
        <v>2</v>
      </c>
      <c r="I3" s="4"/>
      <c r="J3" s="5" t="s">
        <v>16</v>
      </c>
      <c r="K3" s="6" t="s">
        <v>6</v>
      </c>
      <c r="L3" s="6" t="s">
        <v>5</v>
      </c>
      <c r="M3" s="6" t="s">
        <v>4</v>
      </c>
      <c r="N3" s="6" t="s">
        <v>3</v>
      </c>
      <c r="O3" s="6" t="s">
        <v>2</v>
      </c>
      <c r="P3" s="6"/>
      <c r="Q3" s="5" t="s">
        <v>27</v>
      </c>
      <c r="R3" s="6" t="s">
        <v>6</v>
      </c>
      <c r="S3" s="6" t="s">
        <v>5</v>
      </c>
      <c r="T3" s="6" t="s">
        <v>4</v>
      </c>
      <c r="U3" s="6" t="s">
        <v>3</v>
      </c>
      <c r="V3" s="6" t="s">
        <v>2</v>
      </c>
      <c r="W3" s="6"/>
    </row>
    <row r="4" spans="2:23" ht="62.4" x14ac:dyDescent="0.3">
      <c r="B4" s="1">
        <v>1</v>
      </c>
      <c r="C4" s="3" t="s">
        <v>1</v>
      </c>
      <c r="D4" s="1">
        <v>1</v>
      </c>
      <c r="E4" s="1">
        <v>1</v>
      </c>
      <c r="F4" s="1">
        <v>2</v>
      </c>
      <c r="G4" s="1">
        <v>1</v>
      </c>
      <c r="I4" s="4">
        <f>(D4+E4)/5*100%</f>
        <v>0.4</v>
      </c>
      <c r="J4" s="7" t="s">
        <v>17</v>
      </c>
      <c r="K4" s="6">
        <v>2</v>
      </c>
      <c r="L4" s="6">
        <v>15</v>
      </c>
      <c r="M4" s="6">
        <v>22</v>
      </c>
      <c r="N4" s="6">
        <v>3</v>
      </c>
      <c r="O4" s="6">
        <v>3</v>
      </c>
      <c r="P4" s="4">
        <f>(K4+L4)/45*100%</f>
        <v>0.37777777777777777</v>
      </c>
      <c r="Q4" s="7" t="s">
        <v>28</v>
      </c>
      <c r="R4" s="6">
        <v>3</v>
      </c>
      <c r="S4" s="6">
        <v>4</v>
      </c>
      <c r="T4" s="6">
        <v>6</v>
      </c>
      <c r="U4" s="6">
        <v>5</v>
      </c>
      <c r="V4" s="6">
        <v>2</v>
      </c>
      <c r="W4" s="4">
        <f>(R4+S4)/22*100%</f>
        <v>0.31818181818181818</v>
      </c>
    </row>
    <row r="5" spans="2:23" ht="78" x14ac:dyDescent="0.3">
      <c r="B5" s="1">
        <v>2</v>
      </c>
      <c r="C5" s="3" t="s">
        <v>7</v>
      </c>
      <c r="D5" s="1">
        <v>1</v>
      </c>
      <c r="E5" s="1">
        <v>1</v>
      </c>
      <c r="F5" s="1">
        <v>2</v>
      </c>
      <c r="G5" s="1">
        <v>1</v>
      </c>
      <c r="I5" s="4">
        <f t="shared" ref="I5:I13" si="0">(D5+E5)/5*100%</f>
        <v>0.4</v>
      </c>
      <c r="J5" s="7" t="s">
        <v>18</v>
      </c>
      <c r="K5" s="6">
        <v>3</v>
      </c>
      <c r="L5" s="6">
        <v>20</v>
      </c>
      <c r="M5" s="6">
        <v>12</v>
      </c>
      <c r="N5" s="6">
        <v>6</v>
      </c>
      <c r="O5" s="6">
        <v>4</v>
      </c>
      <c r="P5" s="4">
        <f t="shared" ref="P5:P13" si="1">(K5+L5)/45*100%</f>
        <v>0.51111111111111107</v>
      </c>
      <c r="Q5" s="7" t="s">
        <v>29</v>
      </c>
      <c r="R5" s="6">
        <v>1</v>
      </c>
      <c r="S5" s="6">
        <v>8</v>
      </c>
      <c r="T5" s="6">
        <v>4</v>
      </c>
      <c r="U5" s="6">
        <v>6</v>
      </c>
      <c r="V5" s="6">
        <v>2</v>
      </c>
      <c r="W5" s="4">
        <f t="shared" ref="W5:W13" si="2">(R5+S5)/22*100%</f>
        <v>0.40909090909090912</v>
      </c>
    </row>
    <row r="6" spans="2:23" ht="78" x14ac:dyDescent="0.3">
      <c r="B6" s="1">
        <v>3</v>
      </c>
      <c r="C6" s="3" t="s">
        <v>8</v>
      </c>
      <c r="D6" s="1">
        <v>1</v>
      </c>
      <c r="E6" s="1">
        <v>1</v>
      </c>
      <c r="G6" s="1">
        <v>1</v>
      </c>
      <c r="H6" s="1">
        <v>2</v>
      </c>
      <c r="I6" s="4">
        <f t="shared" si="0"/>
        <v>0.4</v>
      </c>
      <c r="J6" s="7" t="s">
        <v>19</v>
      </c>
      <c r="K6" s="6">
        <v>4</v>
      </c>
      <c r="L6" s="6">
        <v>13</v>
      </c>
      <c r="M6" s="6">
        <v>13</v>
      </c>
      <c r="N6" s="6">
        <v>12</v>
      </c>
      <c r="O6" s="6">
        <v>3</v>
      </c>
      <c r="P6" s="4">
        <f t="shared" si="1"/>
        <v>0.37777777777777777</v>
      </c>
      <c r="Q6" s="7" t="s">
        <v>30</v>
      </c>
      <c r="R6" s="6">
        <v>6</v>
      </c>
      <c r="S6" s="6">
        <v>5</v>
      </c>
      <c r="T6" s="6">
        <v>5</v>
      </c>
      <c r="U6" s="6">
        <v>6</v>
      </c>
      <c r="V6" s="6">
        <v>1</v>
      </c>
      <c r="W6" s="4">
        <f t="shared" si="2"/>
        <v>0.5</v>
      </c>
    </row>
    <row r="7" spans="2:23" ht="78" x14ac:dyDescent="0.3">
      <c r="B7" s="1">
        <v>4</v>
      </c>
      <c r="C7" s="3" t="s">
        <v>9</v>
      </c>
      <c r="E7" s="1">
        <v>2</v>
      </c>
      <c r="G7" s="1">
        <v>3</v>
      </c>
      <c r="I7" s="4">
        <f t="shared" si="0"/>
        <v>0.4</v>
      </c>
      <c r="J7" s="7" t="s">
        <v>20</v>
      </c>
      <c r="K7" s="6">
        <v>2</v>
      </c>
      <c r="L7" s="6">
        <v>9</v>
      </c>
      <c r="M7" s="6">
        <v>25</v>
      </c>
      <c r="N7" s="6">
        <v>7</v>
      </c>
      <c r="O7" s="6">
        <v>2</v>
      </c>
      <c r="P7" s="4">
        <f t="shared" si="1"/>
        <v>0.24444444444444444</v>
      </c>
      <c r="Q7" s="7" t="s">
        <v>31</v>
      </c>
      <c r="R7" s="6">
        <v>6</v>
      </c>
      <c r="S7" s="6">
        <v>5</v>
      </c>
      <c r="T7" s="6">
        <v>5</v>
      </c>
      <c r="U7" s="6">
        <v>2</v>
      </c>
      <c r="V7" s="6">
        <v>3</v>
      </c>
      <c r="W7" s="4">
        <f t="shared" si="2"/>
        <v>0.5</v>
      </c>
    </row>
    <row r="8" spans="2:23" ht="78" x14ac:dyDescent="0.3">
      <c r="B8" s="1">
        <v>5</v>
      </c>
      <c r="C8" s="3" t="s">
        <v>10</v>
      </c>
      <c r="D8" s="1">
        <v>1</v>
      </c>
      <c r="F8" s="1">
        <v>3</v>
      </c>
      <c r="H8" s="1">
        <v>1</v>
      </c>
      <c r="I8" s="4">
        <f t="shared" si="0"/>
        <v>0.2</v>
      </c>
      <c r="J8" s="7" t="s">
        <v>21</v>
      </c>
      <c r="K8" s="6">
        <v>5</v>
      </c>
      <c r="L8" s="6">
        <v>15</v>
      </c>
      <c r="M8" s="6">
        <v>16</v>
      </c>
      <c r="N8" s="6">
        <v>7</v>
      </c>
      <c r="O8" s="6">
        <v>2</v>
      </c>
      <c r="P8" s="4">
        <f t="shared" si="1"/>
        <v>0.44444444444444442</v>
      </c>
      <c r="Q8" s="7" t="s">
        <v>32</v>
      </c>
      <c r="R8" s="6">
        <v>5</v>
      </c>
      <c r="S8" s="6">
        <v>4</v>
      </c>
      <c r="T8" s="6">
        <v>6</v>
      </c>
      <c r="U8" s="6">
        <v>2</v>
      </c>
      <c r="V8" s="6">
        <v>1</v>
      </c>
      <c r="W8" s="4">
        <f t="shared" si="2"/>
        <v>0.40909090909090912</v>
      </c>
    </row>
    <row r="9" spans="2:23" ht="73.2" customHeight="1" x14ac:dyDescent="0.3">
      <c r="B9" s="1">
        <v>6</v>
      </c>
      <c r="C9" s="3" t="s">
        <v>11</v>
      </c>
      <c r="D9" s="1">
        <v>1</v>
      </c>
      <c r="E9" s="1">
        <v>2</v>
      </c>
      <c r="G9" s="1">
        <v>2</v>
      </c>
      <c r="I9" s="4">
        <f t="shared" si="0"/>
        <v>0.6</v>
      </c>
      <c r="J9" s="7" t="s">
        <v>22</v>
      </c>
      <c r="K9" s="6">
        <v>2</v>
      </c>
      <c r="L9" s="6">
        <v>16</v>
      </c>
      <c r="M9" s="6">
        <v>17</v>
      </c>
      <c r="N9" s="6">
        <v>7</v>
      </c>
      <c r="O9" s="6">
        <v>3</v>
      </c>
      <c r="P9" s="4">
        <f t="shared" si="1"/>
        <v>0.4</v>
      </c>
      <c r="Q9" s="7" t="s">
        <v>33</v>
      </c>
      <c r="R9" s="6">
        <v>1</v>
      </c>
      <c r="S9" s="6">
        <v>8</v>
      </c>
      <c r="T9" s="6">
        <v>6</v>
      </c>
      <c r="U9" s="6">
        <v>4</v>
      </c>
      <c r="V9" s="6">
        <v>2</v>
      </c>
      <c r="W9" s="4">
        <f t="shared" si="2"/>
        <v>0.40909090909090912</v>
      </c>
    </row>
    <row r="10" spans="2:23" ht="78" x14ac:dyDescent="0.3">
      <c r="B10" s="1">
        <v>7</v>
      </c>
      <c r="C10" s="3" t="s">
        <v>12</v>
      </c>
      <c r="E10" s="1">
        <v>2</v>
      </c>
      <c r="F10" s="1">
        <v>2</v>
      </c>
      <c r="H10" s="1">
        <v>1</v>
      </c>
      <c r="I10" s="4">
        <f t="shared" si="0"/>
        <v>0.4</v>
      </c>
      <c r="J10" s="7" t="s">
        <v>23</v>
      </c>
      <c r="K10" s="6">
        <v>15</v>
      </c>
      <c r="L10" s="6">
        <v>12</v>
      </c>
      <c r="M10" s="6">
        <v>11</v>
      </c>
      <c r="N10" s="6">
        <v>4</v>
      </c>
      <c r="O10" s="6">
        <v>3</v>
      </c>
      <c r="P10" s="4">
        <f t="shared" si="1"/>
        <v>0.6</v>
      </c>
      <c r="Q10" s="7" t="s">
        <v>34</v>
      </c>
      <c r="R10" s="6">
        <v>6</v>
      </c>
      <c r="S10" s="6">
        <v>6</v>
      </c>
      <c r="T10" s="6">
        <v>3</v>
      </c>
      <c r="U10" s="6">
        <v>5</v>
      </c>
      <c r="V10" s="6">
        <v>2</v>
      </c>
      <c r="W10" s="4">
        <f t="shared" si="2"/>
        <v>0.54545454545454541</v>
      </c>
    </row>
    <row r="11" spans="2:23" ht="78" x14ac:dyDescent="0.3">
      <c r="B11" s="1">
        <v>8</v>
      </c>
      <c r="C11" s="3" t="s">
        <v>13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4">
        <f t="shared" si="0"/>
        <v>0.4</v>
      </c>
      <c r="J11" s="7" t="s">
        <v>24</v>
      </c>
      <c r="K11" s="6">
        <v>13</v>
      </c>
      <c r="L11" s="6">
        <v>15</v>
      </c>
      <c r="M11" s="6">
        <v>9</v>
      </c>
      <c r="N11" s="6">
        <v>4</v>
      </c>
      <c r="O11" s="6">
        <v>4</v>
      </c>
      <c r="P11" s="4">
        <f t="shared" si="1"/>
        <v>0.62222222222222223</v>
      </c>
      <c r="Q11" s="7" t="s">
        <v>35</v>
      </c>
      <c r="R11" s="6">
        <v>9</v>
      </c>
      <c r="S11" s="6">
        <v>4</v>
      </c>
      <c r="T11" s="6">
        <v>5</v>
      </c>
      <c r="U11" s="6">
        <v>1</v>
      </c>
      <c r="V11" s="6">
        <v>1</v>
      </c>
      <c r="W11" s="4">
        <f t="shared" si="2"/>
        <v>0.59090909090909094</v>
      </c>
    </row>
    <row r="12" spans="2:23" ht="93.6" x14ac:dyDescent="0.3">
      <c r="B12" s="1">
        <v>9</v>
      </c>
      <c r="C12" s="3" t="s">
        <v>14</v>
      </c>
      <c r="D12" s="1">
        <v>2</v>
      </c>
      <c r="F12" s="1">
        <v>1</v>
      </c>
      <c r="G12" s="1">
        <v>1</v>
      </c>
      <c r="H12" s="1">
        <v>1</v>
      </c>
      <c r="I12" s="4">
        <f t="shared" si="0"/>
        <v>0.4</v>
      </c>
      <c r="J12" s="7" t="s">
        <v>25</v>
      </c>
      <c r="K12" s="6">
        <v>11</v>
      </c>
      <c r="L12" s="6">
        <v>17</v>
      </c>
      <c r="M12" s="6">
        <v>9</v>
      </c>
      <c r="N12" s="6">
        <v>5</v>
      </c>
      <c r="O12" s="6">
        <v>3</v>
      </c>
      <c r="P12" s="4">
        <f t="shared" si="1"/>
        <v>0.62222222222222223</v>
      </c>
      <c r="Q12" s="7" t="s">
        <v>36</v>
      </c>
      <c r="R12" s="6">
        <v>7</v>
      </c>
      <c r="S12" s="6">
        <v>6</v>
      </c>
      <c r="T12" s="6">
        <v>4</v>
      </c>
      <c r="U12" s="6">
        <v>3</v>
      </c>
      <c r="V12" s="6">
        <v>1</v>
      </c>
      <c r="W12" s="4">
        <f t="shared" si="2"/>
        <v>0.59090909090909094</v>
      </c>
    </row>
    <row r="13" spans="2:23" ht="109.2" x14ac:dyDescent="0.3">
      <c r="B13" s="1">
        <v>10</v>
      </c>
      <c r="C13" s="3" t="s">
        <v>15</v>
      </c>
      <c r="D13" s="1">
        <v>2</v>
      </c>
      <c r="E13" s="1">
        <v>1</v>
      </c>
      <c r="F13" s="1">
        <v>1</v>
      </c>
      <c r="G13" s="1">
        <v>1</v>
      </c>
      <c r="I13" s="4">
        <f t="shared" si="0"/>
        <v>0.6</v>
      </c>
      <c r="J13" s="7" t="s">
        <v>26</v>
      </c>
      <c r="K13" s="6">
        <v>12</v>
      </c>
      <c r="L13" s="6">
        <v>16</v>
      </c>
      <c r="M13" s="6">
        <v>10</v>
      </c>
      <c r="N13" s="6">
        <v>3</v>
      </c>
      <c r="O13" s="6">
        <v>4</v>
      </c>
      <c r="P13" s="4">
        <f t="shared" si="1"/>
        <v>0.62222222222222223</v>
      </c>
      <c r="Q13" s="7" t="s">
        <v>37</v>
      </c>
      <c r="R13" s="6">
        <v>8</v>
      </c>
      <c r="S13" s="6">
        <v>6</v>
      </c>
      <c r="T13" s="6">
        <v>4</v>
      </c>
      <c r="U13" s="6">
        <v>2</v>
      </c>
      <c r="V13" s="6">
        <v>0</v>
      </c>
      <c r="W13" s="4">
        <f t="shared" si="2"/>
        <v>0.63636363636363635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Tacsha Aulia</dc:creator>
  <cp:lastModifiedBy>Tacsha Aulia</cp:lastModifiedBy>
  <dcterms:created xsi:type="dcterms:W3CDTF">2026-05-30T04:45:07Z</dcterms:created>
  <dcterms:modified xsi:type="dcterms:W3CDTF">2026-07-13T04:29:16Z</dcterms:modified>
</cp:coreProperties>
</file>