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/Documents/PRODI IPS UNIBBA/Kurikulum &amp; SKPI/Kurikulum Baru 2023/"/>
    </mc:Choice>
  </mc:AlternateContent>
  <xr:revisionPtr revIDLastSave="0" documentId="13_ncr:1_{91A6DD22-AE6B-2B40-9912-42D220F0829F}" xr6:coauthVersionLast="47" xr6:coauthVersionMax="47" xr10:uidLastSave="{00000000-0000-0000-0000-000000000000}"/>
  <bookViews>
    <workbookView xWindow="0" yWindow="500" windowWidth="26140" windowHeight="16520" xr2:uid="{A17C7E26-2641-4730-852A-336631E164B0}"/>
  </bookViews>
  <sheets>
    <sheet name="KKNI Sebaran Per Semester" sheetId="1" r:id="rId1"/>
    <sheet name="Struktur KK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" i="1" l="1"/>
  <c r="F76" i="1"/>
  <c r="F70" i="1"/>
  <c r="G48" i="1"/>
  <c r="F48" i="1"/>
  <c r="G38" i="1"/>
  <c r="G27" i="1"/>
  <c r="H76" i="1"/>
  <c r="H70" i="1"/>
  <c r="H60" i="1"/>
  <c r="H48" i="1"/>
  <c r="H38" i="1"/>
  <c r="H27" i="1"/>
  <c r="H15" i="1"/>
  <c r="G76" i="1"/>
  <c r="G70" i="1"/>
  <c r="G60" i="1"/>
  <c r="G15" i="1"/>
  <c r="I76" i="1"/>
  <c r="I79" i="1" s="1"/>
  <c r="I70" i="1"/>
  <c r="I60" i="1"/>
  <c r="I48" i="1"/>
  <c r="I38" i="1"/>
  <c r="I27" i="1"/>
  <c r="I15" i="1"/>
  <c r="J78" i="1"/>
  <c r="I78" i="1"/>
  <c r="H78" i="1"/>
  <c r="G78" i="1"/>
  <c r="F78" i="1"/>
  <c r="F60" i="1"/>
  <c r="F38" i="1"/>
  <c r="F27" i="1"/>
  <c r="F15" i="1"/>
  <c r="E78" i="2"/>
  <c r="E71" i="2"/>
  <c r="D71" i="2"/>
  <c r="H71" i="2"/>
  <c r="G71" i="2"/>
  <c r="F71" i="2"/>
  <c r="J76" i="1"/>
  <c r="D78" i="2"/>
  <c r="J60" i="1"/>
  <c r="F79" i="1" l="1"/>
  <c r="J48" i="1"/>
  <c r="J38" i="1"/>
  <c r="D29" i="2"/>
  <c r="D15" i="2" l="1"/>
  <c r="G29" i="2"/>
  <c r="F29" i="2"/>
  <c r="E29" i="2"/>
  <c r="H15" i="2"/>
  <c r="G15" i="2"/>
  <c r="F15" i="2"/>
  <c r="E15" i="2"/>
  <c r="J15" i="1"/>
  <c r="H79" i="1"/>
  <c r="J79" i="1"/>
  <c r="J27" i="1"/>
  <c r="J70" i="1"/>
</calcChain>
</file>

<file path=xl/sharedStrings.xml><?xml version="1.0" encoding="utf-8"?>
<sst xmlns="http://schemas.openxmlformats.org/spreadsheetml/2006/main" count="383" uniqueCount="233">
  <si>
    <t>DAFTAR SEBARAN MATA KULIAH PRODI PENDIDIKAN IPS</t>
  </si>
  <si>
    <t>BERLAKU MULAI TAHUN 2023</t>
  </si>
  <si>
    <t>Semester</t>
  </si>
  <si>
    <t>No.</t>
  </si>
  <si>
    <t>Kode</t>
  </si>
  <si>
    <t>Nama Matakuliah</t>
  </si>
  <si>
    <t>Bobot Matakuliah (sks)</t>
  </si>
  <si>
    <t>Matakuliah</t>
  </si>
  <si>
    <t>Mata Kuliah</t>
  </si>
  <si>
    <t>Tatap Muka</t>
  </si>
  <si>
    <t>Praktikum</t>
  </si>
  <si>
    <t>Prakt Lapangan</t>
  </si>
  <si>
    <t>Simulasi</t>
  </si>
  <si>
    <t>PANCASILA</t>
  </si>
  <si>
    <t>BAHASA INGGRIS</t>
  </si>
  <si>
    <t>GEOGRAFI</t>
  </si>
  <si>
    <t>SEJARAH</t>
  </si>
  <si>
    <t>ILMU EKONOMI</t>
  </si>
  <si>
    <t>SOSIOLOGI ANTROPOLOGI</t>
  </si>
  <si>
    <t>DASAR-DASAR ILMU POLITIK</t>
  </si>
  <si>
    <t>Jumlah SKS di Semester 1</t>
  </si>
  <si>
    <t>BAHASA INDONESIA</t>
  </si>
  <si>
    <t>TRANSFORMASI DIGITAL</t>
  </si>
  <si>
    <t>PERKEMBANGAN DAN BIMBINGAN PESERTA DIDIK</t>
  </si>
  <si>
    <t>PENDIDIKAN OLAHRAGA DAN KESEHATAN</t>
  </si>
  <si>
    <t>HAKIKAT IPS</t>
  </si>
  <si>
    <t>NASIONALISME DAN JATI DIRI BANGSA</t>
  </si>
  <si>
    <t>PERSPEKTIF GLOBAL</t>
  </si>
  <si>
    <t>Jumlah SKS di Semester 2</t>
  </si>
  <si>
    <t>KURIKULUM DAN PEMBELAJARAN</t>
  </si>
  <si>
    <t>PENDIDIKAN LINGKUNGAN SOSIAL BUDAYA SUNDA</t>
  </si>
  <si>
    <t>ETIKA DAN KEPEDULIAN LINGKUNGAN</t>
  </si>
  <si>
    <t>KEPEMIMPINAN &amp; PENGAMBILAN KEPUTUSAN</t>
  </si>
  <si>
    <t>PEREKONOMIAN INDONESIA</t>
  </si>
  <si>
    <t>KAJIAN WILAYAH NEGARA BERKEMBANG</t>
  </si>
  <si>
    <t>Jumlah SKS di Semester 3</t>
  </si>
  <si>
    <t>PENGELOLAAN PENDIDIKAN</t>
  </si>
  <si>
    <t>STRATEGI BELAJAR MENGAJAR</t>
  </si>
  <si>
    <t>PERENCANAAN PEMBELAJARAN</t>
  </si>
  <si>
    <t>STUDI MASYARAKAT INDONESIA</t>
  </si>
  <si>
    <t>PENGEMBANGAN KETERAMPILAN SOSIAL</t>
  </si>
  <si>
    <t>MITIGASI BENCANA</t>
  </si>
  <si>
    <t>TEORI-TEORI SOSIAL</t>
  </si>
  <si>
    <t>EKONOMI KERAKYATAN DAN KOPERASI</t>
  </si>
  <si>
    <t>Jumlah SKS di Semester 4</t>
  </si>
  <si>
    <t>EVALUASI PENDIDIKAN</t>
  </si>
  <si>
    <t>KEPARIWISATAAN</t>
  </si>
  <si>
    <t>PLURALITAS &amp; INTEGRASI NASIONAL</t>
  </si>
  <si>
    <t>SOSIOPRENEURSHIP</t>
  </si>
  <si>
    <t>KAJIAN ISU KONTEMPORER</t>
  </si>
  <si>
    <t>STUDI GENDER</t>
  </si>
  <si>
    <t>Jumlah SKS di Semester 5</t>
  </si>
  <si>
    <t xml:space="preserve">METODE PENELITIAN PENDIDIKAN </t>
  </si>
  <si>
    <t>KULIAH KERJA LAPANGAN</t>
  </si>
  <si>
    <t>PERUBAHAN SOSIAL BUDAYA</t>
  </si>
  <si>
    <t>KEPENDUDUKAN &amp; KETENAGAKERJAAN</t>
  </si>
  <si>
    <t>KULIAH KERJA NYATA</t>
  </si>
  <si>
    <t>Jumlah SKS di Semester 6</t>
  </si>
  <si>
    <t>KAJIAN WILAYAH NEGARA MAJU</t>
  </si>
  <si>
    <t>STATISTIKA</t>
  </si>
  <si>
    <t>SEMINAR PENDIDIKAN IPS</t>
  </si>
  <si>
    <t>Jumlah SKS di Semester 7</t>
  </si>
  <si>
    <t>SKRIPSI</t>
  </si>
  <si>
    <t>Jumlah SKS di Semester 8</t>
  </si>
  <si>
    <t>Total SKS Seluruh Semester</t>
  </si>
  <si>
    <t>STRUKTUR KKNI PRODI PENDIDIKAN IPS TA 2023/2024</t>
  </si>
  <si>
    <t>NO</t>
  </si>
  <si>
    <t>Nama Mata Kuliah</t>
  </si>
  <si>
    <t>Bobot Mata Kuliah</t>
  </si>
  <si>
    <t>SKS</t>
  </si>
  <si>
    <t>Prktk Lapangan</t>
  </si>
  <si>
    <t>JUMLAH</t>
  </si>
  <si>
    <t xml:space="preserve">Mata Kuliah Pendidikan dan Keguruan </t>
  </si>
  <si>
    <t xml:space="preserve">JUMLAH </t>
  </si>
  <si>
    <t>PERKEMBANGAN KEBUDAYAAN ISLAM</t>
  </si>
  <si>
    <t>LANDASAN PENDIDIKAN</t>
  </si>
  <si>
    <t>AGAMA</t>
  </si>
  <si>
    <t>KEWARGANEGARAAN</t>
  </si>
  <si>
    <t>Mata Kuliah Wajib Nasional</t>
  </si>
  <si>
    <t>Mata Kuliah Wajib Universitas</t>
  </si>
  <si>
    <t>KEWIRAUSAHAAN</t>
  </si>
  <si>
    <t>PRODUKSI, DISTRIBUSI DAN KONSUMSI</t>
  </si>
  <si>
    <t>KAJIAN MODAL SOSIAL</t>
  </si>
  <si>
    <t>FILSAFAT DAN ETIKA PROFESI KEGURUAN</t>
  </si>
  <si>
    <t>SEJARAH LOKAL DAN INDONESIA</t>
  </si>
  <si>
    <t>INOVASI PENDIDIKAN</t>
  </si>
  <si>
    <t>PENDIDIKAN NILAI DAN KARAKTER</t>
  </si>
  <si>
    <t>KEARIFAN LOKAL DAN ETNOPEDAGOGI *</t>
  </si>
  <si>
    <t>PENDIDIKAN ANTI KORUPSI*</t>
  </si>
  <si>
    <t>PATOLOGI DAN KESEHATAN SOSIAL*</t>
  </si>
  <si>
    <t>Mata Kuliah Keahlian Program Studi</t>
  </si>
  <si>
    <t xml:space="preserve"> </t>
  </si>
  <si>
    <t>Mata Kuliah Pilihan</t>
  </si>
  <si>
    <t>MWBD001</t>
  </si>
  <si>
    <t>MWBD002</t>
  </si>
  <si>
    <t>MWBD003</t>
  </si>
  <si>
    <t>MWBD004</t>
  </si>
  <si>
    <t>MWBD005</t>
  </si>
  <si>
    <t>MWBD006</t>
  </si>
  <si>
    <t>MWBD007</t>
  </si>
  <si>
    <t>MWBD008</t>
  </si>
  <si>
    <t>MWBD009</t>
  </si>
  <si>
    <t>MWBD010</t>
  </si>
  <si>
    <t>MWBD011</t>
  </si>
  <si>
    <t>MWBD012</t>
  </si>
  <si>
    <t>MWBD013</t>
  </si>
  <si>
    <t>MWBD014</t>
  </si>
  <si>
    <t>MWBD015</t>
  </si>
  <si>
    <t>MWBD016</t>
  </si>
  <si>
    <t>MWBD017</t>
  </si>
  <si>
    <t>MWBD018</t>
  </si>
  <si>
    <t>MWBD019</t>
  </si>
  <si>
    <t>MWBD020</t>
  </si>
  <si>
    <t>MWBD021</t>
  </si>
  <si>
    <t>MWBD022</t>
  </si>
  <si>
    <t>MWBD023</t>
  </si>
  <si>
    <t>MWBD024</t>
  </si>
  <si>
    <t>MWBD025</t>
  </si>
  <si>
    <t>MWBD026</t>
  </si>
  <si>
    <t>MWBD027</t>
  </si>
  <si>
    <t>MWBD028</t>
  </si>
  <si>
    <t>MWBD029</t>
  </si>
  <si>
    <t>MWBD030</t>
  </si>
  <si>
    <t>MWBD031</t>
  </si>
  <si>
    <t>MWBD032</t>
  </si>
  <si>
    <t>MWBD033</t>
  </si>
  <si>
    <t>MWBD034</t>
  </si>
  <si>
    <t>MWBD035</t>
  </si>
  <si>
    <t>MWBD036</t>
  </si>
  <si>
    <t>MWBD037</t>
  </si>
  <si>
    <t>MWBD038</t>
  </si>
  <si>
    <t>MWBD039</t>
  </si>
  <si>
    <t>MPBD001</t>
  </si>
  <si>
    <t>MPBD002</t>
  </si>
  <si>
    <t>MPBD003</t>
  </si>
  <si>
    <t>MPBD004</t>
  </si>
  <si>
    <t>MPBD005</t>
  </si>
  <si>
    <t>Jumlah Mata Kuliah Pilihan 10 SKS</t>
  </si>
  <si>
    <t>PERKEMBANGAN MASYARAKAT DUNIA</t>
  </si>
  <si>
    <t>SAINS, TEKNOLOGI DAN MASYARAKAT*</t>
  </si>
  <si>
    <t>MKWK102</t>
  </si>
  <si>
    <t>MKWK101</t>
  </si>
  <si>
    <t>MKWU101</t>
  </si>
  <si>
    <t>MWFB201</t>
  </si>
  <si>
    <t>MKWK103</t>
  </si>
  <si>
    <t>MKWK104</t>
  </si>
  <si>
    <t>MKWU102</t>
  </si>
  <si>
    <t>MWFB202</t>
  </si>
  <si>
    <t>MWFB203</t>
  </si>
  <si>
    <t>MKWU103</t>
  </si>
  <si>
    <t>MWFB204</t>
  </si>
  <si>
    <t>MWFB211</t>
  </si>
  <si>
    <t>MWFB205</t>
  </si>
  <si>
    <t>MWFB206</t>
  </si>
  <si>
    <t>MWFB207</t>
  </si>
  <si>
    <t>MWFB208</t>
  </si>
  <si>
    <t>MKWU104</t>
  </si>
  <si>
    <t>MWFB210</t>
  </si>
  <si>
    <t>MWFB212</t>
  </si>
  <si>
    <t>MWFB209</t>
  </si>
  <si>
    <t>RELIGION</t>
  </si>
  <si>
    <t>ENGLISH</t>
  </si>
  <si>
    <t>EDUCATIONAL FOUNDATIONS</t>
  </si>
  <si>
    <t>GEOGRAPHY</t>
  </si>
  <si>
    <t>HISTORY</t>
  </si>
  <si>
    <t>ECONOMICS</t>
  </si>
  <si>
    <t>SOCIOLOGY ANTHROPOLOGY</t>
  </si>
  <si>
    <t>BASICS OF POLITICAL SCIENCE</t>
  </si>
  <si>
    <t>CITIZENSHIP</t>
  </si>
  <si>
    <t>INDONESIAN LANGUAGE</t>
  </si>
  <si>
    <t>DIGITAL TRANSFORMATION</t>
  </si>
  <si>
    <t>STUDENT DEVELOPMENT AND GUIDANCE</t>
  </si>
  <si>
    <t>PHYSICAL EDUCATION AND HEALTH</t>
  </si>
  <si>
    <t>THE ESSENCE OF SOCIAL STUDIES</t>
  </si>
  <si>
    <t>LOCAL AND INDONESIAN HISTORY</t>
  </si>
  <si>
    <t>NATIONALISM AND NATIONAL IDENTITY</t>
  </si>
  <si>
    <t>STUDY OF INDONESIAN SOCIETY</t>
  </si>
  <si>
    <t>GLOBAL PERSPECTIVE</t>
  </si>
  <si>
    <t>SOCIAL CAPITAL STUDY</t>
  </si>
  <si>
    <t>Course Name</t>
  </si>
  <si>
    <t>ENTREPRENEURSHIP</t>
  </si>
  <si>
    <t>CURRICULUM AND LEARNING</t>
  </si>
  <si>
    <t>SUNDANESE SOCIAL AND CULTURAL EDUCATION</t>
  </si>
  <si>
    <t>PHILOSOPHY AND ETHICS OF THE TEACHING PROFESSION</t>
  </si>
  <si>
    <t>ETHICS AND ENVIRONMENTAL AWARENESS</t>
  </si>
  <si>
    <t>LEADERSHIP &amp; DECISION MAKING</t>
  </si>
  <si>
    <t>PRODUCTION, DISTRIBUTION AND CONSUMPTION</t>
  </si>
  <si>
    <t>STUDY OF DEVELOPING COUNTRIES</t>
  </si>
  <si>
    <t>WORLD SOCIETY DEVELOPMENT</t>
  </si>
  <si>
    <t>LOCAL WISDOM AND ETHNOPEDAGOGY *</t>
  </si>
  <si>
    <t>EDUCATION MANAGEMENT</t>
  </si>
  <si>
    <t>LEARNING AND TEACHING STRATEGIES</t>
  </si>
  <si>
    <t>SOCIAL SKILLS DEVELOPMENT</t>
  </si>
  <si>
    <t>DISASTER MITIGATION</t>
  </si>
  <si>
    <t>SOCIAL THEORIES</t>
  </si>
  <si>
    <t>SOCIO-ENTREPRENEURSHIP</t>
  </si>
  <si>
    <t>DEVELOPMENT OF ISLAMIC CULTURE</t>
  </si>
  <si>
    <t>ANTI-CORRUPTION EDUCATION*</t>
  </si>
  <si>
    <t>EDUCATION EVALUATION</t>
  </si>
  <si>
    <t>LEARNING PLANNING</t>
  </si>
  <si>
    <t>TOURISM</t>
  </si>
  <si>
    <t>PLURALITY &amp; NATIONAL INTEGRATION</t>
  </si>
  <si>
    <t>GENDER STUDIES</t>
  </si>
  <si>
    <t>POPULATION &amp; EMPLOYMENT</t>
  </si>
  <si>
    <t>CONTEMPORARY ISSUES STUDY</t>
  </si>
  <si>
    <t>EDUCATIONAL INNOVATION</t>
  </si>
  <si>
    <t>INDONESIAN ECONOMICS</t>
  </si>
  <si>
    <t>FIELD WORK LECTURES</t>
  </si>
  <si>
    <t>PATHOLOGY AND SOCIAL HEALTH*</t>
  </si>
  <si>
    <t>PRACTICAL WORK COURSE</t>
  </si>
  <si>
    <t xml:space="preserve">EDUCATIONAL RESEARCH METHODS </t>
  </si>
  <si>
    <t>SOCIAL AND CULTURAL CHANGE</t>
  </si>
  <si>
    <t>VALUES AND CHARACTER EDUCATION</t>
  </si>
  <si>
    <t>PEOPLE'S ECONOMY AND COOPERATIVES</t>
  </si>
  <si>
    <t>SCIENCE, TECHNOLOGY, AND SOCIETY*</t>
  </si>
  <si>
    <t>SCHOOL MANAGEMENT TRAINING</t>
  </si>
  <si>
    <t>STUDY OF ADVANCED COUNTRIES</t>
  </si>
  <si>
    <t>STATISTICS</t>
  </si>
  <si>
    <t>SOCIAL STUDIES EDUCATION SEMINAR</t>
  </si>
  <si>
    <t>THESIS</t>
  </si>
  <si>
    <t>SISTEM HUKUM</t>
  </si>
  <si>
    <t>SYSTEM OF LAW</t>
  </si>
  <si>
    <t>PROYEK SOSIAL</t>
  </si>
  <si>
    <t>MICROTEACHING</t>
  </si>
  <si>
    <t>ENGLISH FOR SOCIAL STUDIES</t>
  </si>
  <si>
    <t>SOCIAL PROJECT</t>
  </si>
  <si>
    <t xml:space="preserve">MAGANG KEPENDIDIKAN </t>
  </si>
  <si>
    <t>STUDY OF CONFLICT IN MULTICULTURAL SOCIETIES</t>
  </si>
  <si>
    <t>KAJIAN KONFLIK MASYARAKAT MULTIKULTURAL*</t>
  </si>
  <si>
    <t>MWBD040</t>
  </si>
  <si>
    <t>Di Siak Masih Media Pembelajaran</t>
  </si>
  <si>
    <t>Jumlah Mata Kuliah Wajib 137 SKS</t>
  </si>
  <si>
    <t>Total Minimal SKS Kelulusan 147 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</si>
</sst>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b/>
      <sz val="12"/>
      <name val="Open Sans"/>
      <family val="2"/>
    </font>
    <font>
      <b/>
      <sz val="12"/>
      <name val="Arial"/>
      <family val="2"/>
    </font>
    <font>
      <b/>
      <sz val="12"/>
      <name val="Opensans"/>
    </font>
    <font>
      <sz val="12"/>
      <name val="Opensans"/>
    </font>
    <font>
      <sz val="12"/>
      <name val="Open Sans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sz val="10"/>
      <name val="Opensans"/>
    </font>
    <font>
      <b/>
      <sz val="12"/>
      <color theme="1"/>
      <name val="Open Sans"/>
      <family val="2"/>
    </font>
    <font>
      <b/>
      <sz val="12"/>
      <name val="Open Sans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Continuous" vertical="center" readingOrder="2"/>
    </xf>
    <xf numFmtId="0" fontId="5" fillId="0" borderId="1" xfId="0" applyFont="1" applyBorder="1" applyAlignment="1">
      <alignment horizontal="centerContinuous" vertical="center" readingOrder="2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3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Continuous" vertical="center" readingOrder="2"/>
    </xf>
    <xf numFmtId="0" fontId="5" fillId="0" borderId="1" xfId="0" applyFont="1" applyFill="1" applyBorder="1" applyAlignment="1">
      <alignment horizontal="centerContinuous" vertical="center" readingOrder="2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vertical="center"/>
    </xf>
    <xf numFmtId="0" fontId="0" fillId="4" borderId="0" xfId="0" applyFill="1"/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" xfId="0" applyFont="1" applyBorder="1"/>
    <xf numFmtId="0" fontId="13" fillId="0" borderId="0" xfId="0" applyFont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6882-EF55-4FF2-AA5C-C5DCD71F5429}">
  <dimension ref="A1:Q83"/>
  <sheetViews>
    <sheetView tabSelected="1" zoomScale="84" workbookViewId="0">
      <selection activeCell="G79" sqref="G79"/>
    </sheetView>
  </sheetViews>
  <sheetFormatPr baseColWidth="10" defaultColWidth="8.83203125" defaultRowHeight="15"/>
  <cols>
    <col min="1" max="1" width="12.83203125" customWidth="1"/>
    <col min="3" max="3" width="12.6640625" customWidth="1"/>
    <col min="4" max="5" width="60" customWidth="1"/>
    <col min="6" max="6" width="13.33203125" customWidth="1"/>
    <col min="7" max="7" width="12.5" customWidth="1"/>
    <col min="8" max="8" width="13.1640625" customWidth="1"/>
    <col min="9" max="9" width="20.83203125" customWidth="1"/>
    <col min="10" max="10" width="10" customWidth="1"/>
    <col min="11" max="11" width="19.33203125" customWidth="1"/>
    <col min="257" max="257" width="12.83203125" customWidth="1"/>
    <col min="259" max="259" width="12.6640625" customWidth="1"/>
    <col min="260" max="260" width="60" customWidth="1"/>
    <col min="261" max="261" width="13.33203125" customWidth="1"/>
    <col min="262" max="262" width="12.5" customWidth="1"/>
    <col min="263" max="263" width="13.1640625" customWidth="1"/>
    <col min="264" max="264" width="20.83203125" customWidth="1"/>
    <col min="265" max="265" width="10" customWidth="1"/>
    <col min="513" max="513" width="12.83203125" customWidth="1"/>
    <col min="515" max="515" width="12.6640625" customWidth="1"/>
    <col min="516" max="516" width="60" customWidth="1"/>
    <col min="517" max="517" width="13.33203125" customWidth="1"/>
    <col min="518" max="518" width="12.5" customWidth="1"/>
    <col min="519" max="519" width="13.1640625" customWidth="1"/>
    <col min="520" max="520" width="20.83203125" customWidth="1"/>
    <col min="521" max="521" width="10" customWidth="1"/>
    <col min="769" max="769" width="12.83203125" customWidth="1"/>
    <col min="771" max="771" width="12.6640625" customWidth="1"/>
    <col min="772" max="772" width="60" customWidth="1"/>
    <col min="773" max="773" width="13.33203125" customWidth="1"/>
    <col min="774" max="774" width="12.5" customWidth="1"/>
    <col min="775" max="775" width="13.1640625" customWidth="1"/>
    <col min="776" max="776" width="20.83203125" customWidth="1"/>
    <col min="777" max="777" width="10" customWidth="1"/>
    <col min="1025" max="1025" width="12.83203125" customWidth="1"/>
    <col min="1027" max="1027" width="12.6640625" customWidth="1"/>
    <col min="1028" max="1028" width="60" customWidth="1"/>
    <col min="1029" max="1029" width="13.33203125" customWidth="1"/>
    <col min="1030" max="1030" width="12.5" customWidth="1"/>
    <col min="1031" max="1031" width="13.1640625" customWidth="1"/>
    <col min="1032" max="1032" width="20.83203125" customWidth="1"/>
    <col min="1033" max="1033" width="10" customWidth="1"/>
    <col min="1281" max="1281" width="12.83203125" customWidth="1"/>
    <col min="1283" max="1283" width="12.6640625" customWidth="1"/>
    <col min="1284" max="1284" width="60" customWidth="1"/>
    <col min="1285" max="1285" width="13.33203125" customWidth="1"/>
    <col min="1286" max="1286" width="12.5" customWidth="1"/>
    <col min="1287" max="1287" width="13.1640625" customWidth="1"/>
    <col min="1288" max="1288" width="20.83203125" customWidth="1"/>
    <col min="1289" max="1289" width="10" customWidth="1"/>
    <col min="1537" max="1537" width="12.83203125" customWidth="1"/>
    <col min="1539" max="1539" width="12.6640625" customWidth="1"/>
    <col min="1540" max="1540" width="60" customWidth="1"/>
    <col min="1541" max="1541" width="13.33203125" customWidth="1"/>
    <col min="1542" max="1542" width="12.5" customWidth="1"/>
    <col min="1543" max="1543" width="13.1640625" customWidth="1"/>
    <col min="1544" max="1544" width="20.83203125" customWidth="1"/>
    <col min="1545" max="1545" width="10" customWidth="1"/>
    <col min="1793" max="1793" width="12.83203125" customWidth="1"/>
    <col min="1795" max="1795" width="12.6640625" customWidth="1"/>
    <col min="1796" max="1796" width="60" customWidth="1"/>
    <col min="1797" max="1797" width="13.33203125" customWidth="1"/>
    <col min="1798" max="1798" width="12.5" customWidth="1"/>
    <col min="1799" max="1799" width="13.1640625" customWidth="1"/>
    <col min="1800" max="1800" width="20.83203125" customWidth="1"/>
    <col min="1801" max="1801" width="10" customWidth="1"/>
    <col min="2049" max="2049" width="12.83203125" customWidth="1"/>
    <col min="2051" max="2051" width="12.6640625" customWidth="1"/>
    <col min="2052" max="2052" width="60" customWidth="1"/>
    <col min="2053" max="2053" width="13.33203125" customWidth="1"/>
    <col min="2054" max="2054" width="12.5" customWidth="1"/>
    <col min="2055" max="2055" width="13.1640625" customWidth="1"/>
    <col min="2056" max="2056" width="20.83203125" customWidth="1"/>
    <col min="2057" max="2057" width="10" customWidth="1"/>
    <col min="2305" max="2305" width="12.83203125" customWidth="1"/>
    <col min="2307" max="2307" width="12.6640625" customWidth="1"/>
    <col min="2308" max="2308" width="60" customWidth="1"/>
    <col min="2309" max="2309" width="13.33203125" customWidth="1"/>
    <col min="2310" max="2310" width="12.5" customWidth="1"/>
    <col min="2311" max="2311" width="13.1640625" customWidth="1"/>
    <col min="2312" max="2312" width="20.83203125" customWidth="1"/>
    <col min="2313" max="2313" width="10" customWidth="1"/>
    <col min="2561" max="2561" width="12.83203125" customWidth="1"/>
    <col min="2563" max="2563" width="12.6640625" customWidth="1"/>
    <col min="2564" max="2564" width="60" customWidth="1"/>
    <col min="2565" max="2565" width="13.33203125" customWidth="1"/>
    <col min="2566" max="2566" width="12.5" customWidth="1"/>
    <col min="2567" max="2567" width="13.1640625" customWidth="1"/>
    <col min="2568" max="2568" width="20.83203125" customWidth="1"/>
    <col min="2569" max="2569" width="10" customWidth="1"/>
    <col min="2817" max="2817" width="12.83203125" customWidth="1"/>
    <col min="2819" max="2819" width="12.6640625" customWidth="1"/>
    <col min="2820" max="2820" width="60" customWidth="1"/>
    <col min="2821" max="2821" width="13.33203125" customWidth="1"/>
    <col min="2822" max="2822" width="12.5" customWidth="1"/>
    <col min="2823" max="2823" width="13.1640625" customWidth="1"/>
    <col min="2824" max="2824" width="20.83203125" customWidth="1"/>
    <col min="2825" max="2825" width="10" customWidth="1"/>
    <col min="3073" max="3073" width="12.83203125" customWidth="1"/>
    <col min="3075" max="3075" width="12.6640625" customWidth="1"/>
    <col min="3076" max="3076" width="60" customWidth="1"/>
    <col min="3077" max="3077" width="13.33203125" customWidth="1"/>
    <col min="3078" max="3078" width="12.5" customWidth="1"/>
    <col min="3079" max="3079" width="13.1640625" customWidth="1"/>
    <col min="3080" max="3080" width="20.83203125" customWidth="1"/>
    <col min="3081" max="3081" width="10" customWidth="1"/>
    <col min="3329" max="3329" width="12.83203125" customWidth="1"/>
    <col min="3331" max="3331" width="12.6640625" customWidth="1"/>
    <col min="3332" max="3332" width="60" customWidth="1"/>
    <col min="3333" max="3333" width="13.33203125" customWidth="1"/>
    <col min="3334" max="3334" width="12.5" customWidth="1"/>
    <col min="3335" max="3335" width="13.1640625" customWidth="1"/>
    <col min="3336" max="3336" width="20.83203125" customWidth="1"/>
    <col min="3337" max="3337" width="10" customWidth="1"/>
    <col min="3585" max="3585" width="12.83203125" customWidth="1"/>
    <col min="3587" max="3587" width="12.6640625" customWidth="1"/>
    <col min="3588" max="3588" width="60" customWidth="1"/>
    <col min="3589" max="3589" width="13.33203125" customWidth="1"/>
    <col min="3590" max="3590" width="12.5" customWidth="1"/>
    <col min="3591" max="3591" width="13.1640625" customWidth="1"/>
    <col min="3592" max="3592" width="20.83203125" customWidth="1"/>
    <col min="3593" max="3593" width="10" customWidth="1"/>
    <col min="3841" max="3841" width="12.83203125" customWidth="1"/>
    <col min="3843" max="3843" width="12.6640625" customWidth="1"/>
    <col min="3844" max="3844" width="60" customWidth="1"/>
    <col min="3845" max="3845" width="13.33203125" customWidth="1"/>
    <col min="3846" max="3846" width="12.5" customWidth="1"/>
    <col min="3847" max="3847" width="13.1640625" customWidth="1"/>
    <col min="3848" max="3848" width="20.83203125" customWidth="1"/>
    <col min="3849" max="3849" width="10" customWidth="1"/>
    <col min="4097" max="4097" width="12.83203125" customWidth="1"/>
    <col min="4099" max="4099" width="12.6640625" customWidth="1"/>
    <col min="4100" max="4100" width="60" customWidth="1"/>
    <col min="4101" max="4101" width="13.33203125" customWidth="1"/>
    <col min="4102" max="4102" width="12.5" customWidth="1"/>
    <col min="4103" max="4103" width="13.1640625" customWidth="1"/>
    <col min="4104" max="4104" width="20.83203125" customWidth="1"/>
    <col min="4105" max="4105" width="10" customWidth="1"/>
    <col min="4353" max="4353" width="12.83203125" customWidth="1"/>
    <col min="4355" max="4355" width="12.6640625" customWidth="1"/>
    <col min="4356" max="4356" width="60" customWidth="1"/>
    <col min="4357" max="4357" width="13.33203125" customWidth="1"/>
    <col min="4358" max="4358" width="12.5" customWidth="1"/>
    <col min="4359" max="4359" width="13.1640625" customWidth="1"/>
    <col min="4360" max="4360" width="20.83203125" customWidth="1"/>
    <col min="4361" max="4361" width="10" customWidth="1"/>
    <col min="4609" max="4609" width="12.83203125" customWidth="1"/>
    <col min="4611" max="4611" width="12.6640625" customWidth="1"/>
    <col min="4612" max="4612" width="60" customWidth="1"/>
    <col min="4613" max="4613" width="13.33203125" customWidth="1"/>
    <col min="4614" max="4614" width="12.5" customWidth="1"/>
    <col min="4615" max="4615" width="13.1640625" customWidth="1"/>
    <col min="4616" max="4616" width="20.83203125" customWidth="1"/>
    <col min="4617" max="4617" width="10" customWidth="1"/>
    <col min="4865" max="4865" width="12.83203125" customWidth="1"/>
    <col min="4867" max="4867" width="12.6640625" customWidth="1"/>
    <col min="4868" max="4868" width="60" customWidth="1"/>
    <col min="4869" max="4869" width="13.33203125" customWidth="1"/>
    <col min="4870" max="4870" width="12.5" customWidth="1"/>
    <col min="4871" max="4871" width="13.1640625" customWidth="1"/>
    <col min="4872" max="4872" width="20.83203125" customWidth="1"/>
    <col min="4873" max="4873" width="10" customWidth="1"/>
    <col min="5121" max="5121" width="12.83203125" customWidth="1"/>
    <col min="5123" max="5123" width="12.6640625" customWidth="1"/>
    <col min="5124" max="5124" width="60" customWidth="1"/>
    <col min="5125" max="5125" width="13.33203125" customWidth="1"/>
    <col min="5126" max="5126" width="12.5" customWidth="1"/>
    <col min="5127" max="5127" width="13.1640625" customWidth="1"/>
    <col min="5128" max="5128" width="20.83203125" customWidth="1"/>
    <col min="5129" max="5129" width="10" customWidth="1"/>
    <col min="5377" max="5377" width="12.83203125" customWidth="1"/>
    <col min="5379" max="5379" width="12.6640625" customWidth="1"/>
    <col min="5380" max="5380" width="60" customWidth="1"/>
    <col min="5381" max="5381" width="13.33203125" customWidth="1"/>
    <col min="5382" max="5382" width="12.5" customWidth="1"/>
    <col min="5383" max="5383" width="13.1640625" customWidth="1"/>
    <col min="5384" max="5384" width="20.83203125" customWidth="1"/>
    <col min="5385" max="5385" width="10" customWidth="1"/>
    <col min="5633" max="5633" width="12.83203125" customWidth="1"/>
    <col min="5635" max="5635" width="12.6640625" customWidth="1"/>
    <col min="5636" max="5636" width="60" customWidth="1"/>
    <col min="5637" max="5637" width="13.33203125" customWidth="1"/>
    <col min="5638" max="5638" width="12.5" customWidth="1"/>
    <col min="5639" max="5639" width="13.1640625" customWidth="1"/>
    <col min="5640" max="5640" width="20.83203125" customWidth="1"/>
    <col min="5641" max="5641" width="10" customWidth="1"/>
    <col min="5889" max="5889" width="12.83203125" customWidth="1"/>
    <col min="5891" max="5891" width="12.6640625" customWidth="1"/>
    <col min="5892" max="5892" width="60" customWidth="1"/>
    <col min="5893" max="5893" width="13.33203125" customWidth="1"/>
    <col min="5894" max="5894" width="12.5" customWidth="1"/>
    <col min="5895" max="5895" width="13.1640625" customWidth="1"/>
    <col min="5896" max="5896" width="20.83203125" customWidth="1"/>
    <col min="5897" max="5897" width="10" customWidth="1"/>
    <col min="6145" max="6145" width="12.83203125" customWidth="1"/>
    <col min="6147" max="6147" width="12.6640625" customWidth="1"/>
    <col min="6148" max="6148" width="60" customWidth="1"/>
    <col min="6149" max="6149" width="13.33203125" customWidth="1"/>
    <col min="6150" max="6150" width="12.5" customWidth="1"/>
    <col min="6151" max="6151" width="13.1640625" customWidth="1"/>
    <col min="6152" max="6152" width="20.83203125" customWidth="1"/>
    <col min="6153" max="6153" width="10" customWidth="1"/>
    <col min="6401" max="6401" width="12.83203125" customWidth="1"/>
    <col min="6403" max="6403" width="12.6640625" customWidth="1"/>
    <col min="6404" max="6404" width="60" customWidth="1"/>
    <col min="6405" max="6405" width="13.33203125" customWidth="1"/>
    <col min="6406" max="6406" width="12.5" customWidth="1"/>
    <col min="6407" max="6407" width="13.1640625" customWidth="1"/>
    <col min="6408" max="6408" width="20.83203125" customWidth="1"/>
    <col min="6409" max="6409" width="10" customWidth="1"/>
    <col min="6657" max="6657" width="12.83203125" customWidth="1"/>
    <col min="6659" max="6659" width="12.6640625" customWidth="1"/>
    <col min="6660" max="6660" width="60" customWidth="1"/>
    <col min="6661" max="6661" width="13.33203125" customWidth="1"/>
    <col min="6662" max="6662" width="12.5" customWidth="1"/>
    <col min="6663" max="6663" width="13.1640625" customWidth="1"/>
    <col min="6664" max="6664" width="20.83203125" customWidth="1"/>
    <col min="6665" max="6665" width="10" customWidth="1"/>
    <col min="6913" max="6913" width="12.83203125" customWidth="1"/>
    <col min="6915" max="6915" width="12.6640625" customWidth="1"/>
    <col min="6916" max="6916" width="60" customWidth="1"/>
    <col min="6917" max="6917" width="13.33203125" customWidth="1"/>
    <col min="6918" max="6918" width="12.5" customWidth="1"/>
    <col min="6919" max="6919" width="13.1640625" customWidth="1"/>
    <col min="6920" max="6920" width="20.83203125" customWidth="1"/>
    <col min="6921" max="6921" width="10" customWidth="1"/>
    <col min="7169" max="7169" width="12.83203125" customWidth="1"/>
    <col min="7171" max="7171" width="12.6640625" customWidth="1"/>
    <col min="7172" max="7172" width="60" customWidth="1"/>
    <col min="7173" max="7173" width="13.33203125" customWidth="1"/>
    <col min="7174" max="7174" width="12.5" customWidth="1"/>
    <col min="7175" max="7175" width="13.1640625" customWidth="1"/>
    <col min="7176" max="7176" width="20.83203125" customWidth="1"/>
    <col min="7177" max="7177" width="10" customWidth="1"/>
    <col min="7425" max="7425" width="12.83203125" customWidth="1"/>
    <col min="7427" max="7427" width="12.6640625" customWidth="1"/>
    <col min="7428" max="7428" width="60" customWidth="1"/>
    <col min="7429" max="7429" width="13.33203125" customWidth="1"/>
    <col min="7430" max="7430" width="12.5" customWidth="1"/>
    <col min="7431" max="7431" width="13.1640625" customWidth="1"/>
    <col min="7432" max="7432" width="20.83203125" customWidth="1"/>
    <col min="7433" max="7433" width="10" customWidth="1"/>
    <col min="7681" max="7681" width="12.83203125" customWidth="1"/>
    <col min="7683" max="7683" width="12.6640625" customWidth="1"/>
    <col min="7684" max="7684" width="60" customWidth="1"/>
    <col min="7685" max="7685" width="13.33203125" customWidth="1"/>
    <col min="7686" max="7686" width="12.5" customWidth="1"/>
    <col min="7687" max="7687" width="13.1640625" customWidth="1"/>
    <col min="7688" max="7688" width="20.83203125" customWidth="1"/>
    <col min="7689" max="7689" width="10" customWidth="1"/>
    <col min="7937" max="7937" width="12.83203125" customWidth="1"/>
    <col min="7939" max="7939" width="12.6640625" customWidth="1"/>
    <col min="7940" max="7940" width="60" customWidth="1"/>
    <col min="7941" max="7941" width="13.33203125" customWidth="1"/>
    <col min="7942" max="7942" width="12.5" customWidth="1"/>
    <col min="7943" max="7943" width="13.1640625" customWidth="1"/>
    <col min="7944" max="7944" width="20.83203125" customWidth="1"/>
    <col min="7945" max="7945" width="10" customWidth="1"/>
    <col min="8193" max="8193" width="12.83203125" customWidth="1"/>
    <col min="8195" max="8195" width="12.6640625" customWidth="1"/>
    <col min="8196" max="8196" width="60" customWidth="1"/>
    <col min="8197" max="8197" width="13.33203125" customWidth="1"/>
    <col min="8198" max="8198" width="12.5" customWidth="1"/>
    <col min="8199" max="8199" width="13.1640625" customWidth="1"/>
    <col min="8200" max="8200" width="20.83203125" customWidth="1"/>
    <col min="8201" max="8201" width="10" customWidth="1"/>
    <col min="8449" max="8449" width="12.83203125" customWidth="1"/>
    <col min="8451" max="8451" width="12.6640625" customWidth="1"/>
    <col min="8452" max="8452" width="60" customWidth="1"/>
    <col min="8453" max="8453" width="13.33203125" customWidth="1"/>
    <col min="8454" max="8454" width="12.5" customWidth="1"/>
    <col min="8455" max="8455" width="13.1640625" customWidth="1"/>
    <col min="8456" max="8456" width="20.83203125" customWidth="1"/>
    <col min="8457" max="8457" width="10" customWidth="1"/>
    <col min="8705" max="8705" width="12.83203125" customWidth="1"/>
    <col min="8707" max="8707" width="12.6640625" customWidth="1"/>
    <col min="8708" max="8708" width="60" customWidth="1"/>
    <col min="8709" max="8709" width="13.33203125" customWidth="1"/>
    <col min="8710" max="8710" width="12.5" customWidth="1"/>
    <col min="8711" max="8711" width="13.1640625" customWidth="1"/>
    <col min="8712" max="8712" width="20.83203125" customWidth="1"/>
    <col min="8713" max="8713" width="10" customWidth="1"/>
    <col min="8961" max="8961" width="12.83203125" customWidth="1"/>
    <col min="8963" max="8963" width="12.6640625" customWidth="1"/>
    <col min="8964" max="8964" width="60" customWidth="1"/>
    <col min="8965" max="8965" width="13.33203125" customWidth="1"/>
    <col min="8966" max="8966" width="12.5" customWidth="1"/>
    <col min="8967" max="8967" width="13.1640625" customWidth="1"/>
    <col min="8968" max="8968" width="20.83203125" customWidth="1"/>
    <col min="8969" max="8969" width="10" customWidth="1"/>
    <col min="9217" max="9217" width="12.83203125" customWidth="1"/>
    <col min="9219" max="9219" width="12.6640625" customWidth="1"/>
    <col min="9220" max="9220" width="60" customWidth="1"/>
    <col min="9221" max="9221" width="13.33203125" customWidth="1"/>
    <col min="9222" max="9222" width="12.5" customWidth="1"/>
    <col min="9223" max="9223" width="13.1640625" customWidth="1"/>
    <col min="9224" max="9224" width="20.83203125" customWidth="1"/>
    <col min="9225" max="9225" width="10" customWidth="1"/>
    <col min="9473" max="9473" width="12.83203125" customWidth="1"/>
    <col min="9475" max="9475" width="12.6640625" customWidth="1"/>
    <col min="9476" max="9476" width="60" customWidth="1"/>
    <col min="9477" max="9477" width="13.33203125" customWidth="1"/>
    <col min="9478" max="9478" width="12.5" customWidth="1"/>
    <col min="9479" max="9479" width="13.1640625" customWidth="1"/>
    <col min="9480" max="9480" width="20.83203125" customWidth="1"/>
    <col min="9481" max="9481" width="10" customWidth="1"/>
    <col min="9729" max="9729" width="12.83203125" customWidth="1"/>
    <col min="9731" max="9731" width="12.6640625" customWidth="1"/>
    <col min="9732" max="9732" width="60" customWidth="1"/>
    <col min="9733" max="9733" width="13.33203125" customWidth="1"/>
    <col min="9734" max="9734" width="12.5" customWidth="1"/>
    <col min="9735" max="9735" width="13.1640625" customWidth="1"/>
    <col min="9736" max="9736" width="20.83203125" customWidth="1"/>
    <col min="9737" max="9737" width="10" customWidth="1"/>
    <col min="9985" max="9985" width="12.83203125" customWidth="1"/>
    <col min="9987" max="9987" width="12.6640625" customWidth="1"/>
    <col min="9988" max="9988" width="60" customWidth="1"/>
    <col min="9989" max="9989" width="13.33203125" customWidth="1"/>
    <col min="9990" max="9990" width="12.5" customWidth="1"/>
    <col min="9991" max="9991" width="13.1640625" customWidth="1"/>
    <col min="9992" max="9992" width="20.83203125" customWidth="1"/>
    <col min="9993" max="9993" width="10" customWidth="1"/>
    <col min="10241" max="10241" width="12.83203125" customWidth="1"/>
    <col min="10243" max="10243" width="12.6640625" customWidth="1"/>
    <col min="10244" max="10244" width="60" customWidth="1"/>
    <col min="10245" max="10245" width="13.33203125" customWidth="1"/>
    <col min="10246" max="10246" width="12.5" customWidth="1"/>
    <col min="10247" max="10247" width="13.1640625" customWidth="1"/>
    <col min="10248" max="10248" width="20.83203125" customWidth="1"/>
    <col min="10249" max="10249" width="10" customWidth="1"/>
    <col min="10497" max="10497" width="12.83203125" customWidth="1"/>
    <col min="10499" max="10499" width="12.6640625" customWidth="1"/>
    <col min="10500" max="10500" width="60" customWidth="1"/>
    <col min="10501" max="10501" width="13.33203125" customWidth="1"/>
    <col min="10502" max="10502" width="12.5" customWidth="1"/>
    <col min="10503" max="10503" width="13.1640625" customWidth="1"/>
    <col min="10504" max="10504" width="20.83203125" customWidth="1"/>
    <col min="10505" max="10505" width="10" customWidth="1"/>
    <col min="10753" max="10753" width="12.83203125" customWidth="1"/>
    <col min="10755" max="10755" width="12.6640625" customWidth="1"/>
    <col min="10756" max="10756" width="60" customWidth="1"/>
    <col min="10757" max="10757" width="13.33203125" customWidth="1"/>
    <col min="10758" max="10758" width="12.5" customWidth="1"/>
    <col min="10759" max="10759" width="13.1640625" customWidth="1"/>
    <col min="10760" max="10760" width="20.83203125" customWidth="1"/>
    <col min="10761" max="10761" width="10" customWidth="1"/>
    <col min="11009" max="11009" width="12.83203125" customWidth="1"/>
    <col min="11011" max="11011" width="12.6640625" customWidth="1"/>
    <col min="11012" max="11012" width="60" customWidth="1"/>
    <col min="11013" max="11013" width="13.33203125" customWidth="1"/>
    <col min="11014" max="11014" width="12.5" customWidth="1"/>
    <col min="11015" max="11015" width="13.1640625" customWidth="1"/>
    <col min="11016" max="11016" width="20.83203125" customWidth="1"/>
    <col min="11017" max="11017" width="10" customWidth="1"/>
    <col min="11265" max="11265" width="12.83203125" customWidth="1"/>
    <col min="11267" max="11267" width="12.6640625" customWidth="1"/>
    <col min="11268" max="11268" width="60" customWidth="1"/>
    <col min="11269" max="11269" width="13.33203125" customWidth="1"/>
    <col min="11270" max="11270" width="12.5" customWidth="1"/>
    <col min="11271" max="11271" width="13.1640625" customWidth="1"/>
    <col min="11272" max="11272" width="20.83203125" customWidth="1"/>
    <col min="11273" max="11273" width="10" customWidth="1"/>
    <col min="11521" max="11521" width="12.83203125" customWidth="1"/>
    <col min="11523" max="11523" width="12.6640625" customWidth="1"/>
    <col min="11524" max="11524" width="60" customWidth="1"/>
    <col min="11525" max="11525" width="13.33203125" customWidth="1"/>
    <col min="11526" max="11526" width="12.5" customWidth="1"/>
    <col min="11527" max="11527" width="13.1640625" customWidth="1"/>
    <col min="11528" max="11528" width="20.83203125" customWidth="1"/>
    <col min="11529" max="11529" width="10" customWidth="1"/>
    <col min="11777" max="11777" width="12.83203125" customWidth="1"/>
    <col min="11779" max="11779" width="12.6640625" customWidth="1"/>
    <col min="11780" max="11780" width="60" customWidth="1"/>
    <col min="11781" max="11781" width="13.33203125" customWidth="1"/>
    <col min="11782" max="11782" width="12.5" customWidth="1"/>
    <col min="11783" max="11783" width="13.1640625" customWidth="1"/>
    <col min="11784" max="11784" width="20.83203125" customWidth="1"/>
    <col min="11785" max="11785" width="10" customWidth="1"/>
    <col min="12033" max="12033" width="12.83203125" customWidth="1"/>
    <col min="12035" max="12035" width="12.6640625" customWidth="1"/>
    <col min="12036" max="12036" width="60" customWidth="1"/>
    <col min="12037" max="12037" width="13.33203125" customWidth="1"/>
    <col min="12038" max="12038" width="12.5" customWidth="1"/>
    <col min="12039" max="12039" width="13.1640625" customWidth="1"/>
    <col min="12040" max="12040" width="20.83203125" customWidth="1"/>
    <col min="12041" max="12041" width="10" customWidth="1"/>
    <col min="12289" max="12289" width="12.83203125" customWidth="1"/>
    <col min="12291" max="12291" width="12.6640625" customWidth="1"/>
    <col min="12292" max="12292" width="60" customWidth="1"/>
    <col min="12293" max="12293" width="13.33203125" customWidth="1"/>
    <col min="12294" max="12294" width="12.5" customWidth="1"/>
    <col min="12295" max="12295" width="13.1640625" customWidth="1"/>
    <col min="12296" max="12296" width="20.83203125" customWidth="1"/>
    <col min="12297" max="12297" width="10" customWidth="1"/>
    <col min="12545" max="12545" width="12.83203125" customWidth="1"/>
    <col min="12547" max="12547" width="12.6640625" customWidth="1"/>
    <col min="12548" max="12548" width="60" customWidth="1"/>
    <col min="12549" max="12549" width="13.33203125" customWidth="1"/>
    <col min="12550" max="12550" width="12.5" customWidth="1"/>
    <col min="12551" max="12551" width="13.1640625" customWidth="1"/>
    <col min="12552" max="12552" width="20.83203125" customWidth="1"/>
    <col min="12553" max="12553" width="10" customWidth="1"/>
    <col min="12801" max="12801" width="12.83203125" customWidth="1"/>
    <col min="12803" max="12803" width="12.6640625" customWidth="1"/>
    <col min="12804" max="12804" width="60" customWidth="1"/>
    <col min="12805" max="12805" width="13.33203125" customWidth="1"/>
    <col min="12806" max="12806" width="12.5" customWidth="1"/>
    <col min="12807" max="12807" width="13.1640625" customWidth="1"/>
    <col min="12808" max="12808" width="20.83203125" customWidth="1"/>
    <col min="12809" max="12809" width="10" customWidth="1"/>
    <col min="13057" max="13057" width="12.83203125" customWidth="1"/>
    <col min="13059" max="13059" width="12.6640625" customWidth="1"/>
    <col min="13060" max="13060" width="60" customWidth="1"/>
    <col min="13061" max="13061" width="13.33203125" customWidth="1"/>
    <col min="13062" max="13062" width="12.5" customWidth="1"/>
    <col min="13063" max="13063" width="13.1640625" customWidth="1"/>
    <col min="13064" max="13064" width="20.83203125" customWidth="1"/>
    <col min="13065" max="13065" width="10" customWidth="1"/>
    <col min="13313" max="13313" width="12.83203125" customWidth="1"/>
    <col min="13315" max="13315" width="12.6640625" customWidth="1"/>
    <col min="13316" max="13316" width="60" customWidth="1"/>
    <col min="13317" max="13317" width="13.33203125" customWidth="1"/>
    <col min="13318" max="13318" width="12.5" customWidth="1"/>
    <col min="13319" max="13319" width="13.1640625" customWidth="1"/>
    <col min="13320" max="13320" width="20.83203125" customWidth="1"/>
    <col min="13321" max="13321" width="10" customWidth="1"/>
    <col min="13569" max="13569" width="12.83203125" customWidth="1"/>
    <col min="13571" max="13571" width="12.6640625" customWidth="1"/>
    <col min="13572" max="13572" width="60" customWidth="1"/>
    <col min="13573" max="13573" width="13.33203125" customWidth="1"/>
    <col min="13574" max="13574" width="12.5" customWidth="1"/>
    <col min="13575" max="13575" width="13.1640625" customWidth="1"/>
    <col min="13576" max="13576" width="20.83203125" customWidth="1"/>
    <col min="13577" max="13577" width="10" customWidth="1"/>
    <col min="13825" max="13825" width="12.83203125" customWidth="1"/>
    <col min="13827" max="13827" width="12.6640625" customWidth="1"/>
    <col min="13828" max="13828" width="60" customWidth="1"/>
    <col min="13829" max="13829" width="13.33203125" customWidth="1"/>
    <col min="13830" max="13830" width="12.5" customWidth="1"/>
    <col min="13831" max="13831" width="13.1640625" customWidth="1"/>
    <col min="13832" max="13832" width="20.83203125" customWidth="1"/>
    <col min="13833" max="13833" width="10" customWidth="1"/>
    <col min="14081" max="14081" width="12.83203125" customWidth="1"/>
    <col min="14083" max="14083" width="12.6640625" customWidth="1"/>
    <col min="14084" max="14084" width="60" customWidth="1"/>
    <col min="14085" max="14085" width="13.33203125" customWidth="1"/>
    <col min="14086" max="14086" width="12.5" customWidth="1"/>
    <col min="14087" max="14087" width="13.1640625" customWidth="1"/>
    <col min="14088" max="14088" width="20.83203125" customWidth="1"/>
    <col min="14089" max="14089" width="10" customWidth="1"/>
    <col min="14337" max="14337" width="12.83203125" customWidth="1"/>
    <col min="14339" max="14339" width="12.6640625" customWidth="1"/>
    <col min="14340" max="14340" width="60" customWidth="1"/>
    <col min="14341" max="14341" width="13.33203125" customWidth="1"/>
    <col min="14342" max="14342" width="12.5" customWidth="1"/>
    <col min="14343" max="14343" width="13.1640625" customWidth="1"/>
    <col min="14344" max="14344" width="20.83203125" customWidth="1"/>
    <col min="14345" max="14345" width="10" customWidth="1"/>
    <col min="14593" max="14593" width="12.83203125" customWidth="1"/>
    <col min="14595" max="14595" width="12.6640625" customWidth="1"/>
    <col min="14596" max="14596" width="60" customWidth="1"/>
    <col min="14597" max="14597" width="13.33203125" customWidth="1"/>
    <col min="14598" max="14598" width="12.5" customWidth="1"/>
    <col min="14599" max="14599" width="13.1640625" customWidth="1"/>
    <col min="14600" max="14600" width="20.83203125" customWidth="1"/>
    <col min="14601" max="14601" width="10" customWidth="1"/>
    <col min="14849" max="14849" width="12.83203125" customWidth="1"/>
    <col min="14851" max="14851" width="12.6640625" customWidth="1"/>
    <col min="14852" max="14852" width="60" customWidth="1"/>
    <col min="14853" max="14853" width="13.33203125" customWidth="1"/>
    <col min="14854" max="14854" width="12.5" customWidth="1"/>
    <col min="14855" max="14855" width="13.1640625" customWidth="1"/>
    <col min="14856" max="14856" width="20.83203125" customWidth="1"/>
    <col min="14857" max="14857" width="10" customWidth="1"/>
    <col min="15105" max="15105" width="12.83203125" customWidth="1"/>
    <col min="15107" max="15107" width="12.6640625" customWidth="1"/>
    <col min="15108" max="15108" width="60" customWidth="1"/>
    <col min="15109" max="15109" width="13.33203125" customWidth="1"/>
    <col min="15110" max="15110" width="12.5" customWidth="1"/>
    <col min="15111" max="15111" width="13.1640625" customWidth="1"/>
    <col min="15112" max="15112" width="20.83203125" customWidth="1"/>
    <col min="15113" max="15113" width="10" customWidth="1"/>
    <col min="15361" max="15361" width="12.83203125" customWidth="1"/>
    <col min="15363" max="15363" width="12.6640625" customWidth="1"/>
    <col min="15364" max="15364" width="60" customWidth="1"/>
    <col min="15365" max="15365" width="13.33203125" customWidth="1"/>
    <col min="15366" max="15366" width="12.5" customWidth="1"/>
    <col min="15367" max="15367" width="13.1640625" customWidth="1"/>
    <col min="15368" max="15368" width="20.83203125" customWidth="1"/>
    <col min="15369" max="15369" width="10" customWidth="1"/>
    <col min="15617" max="15617" width="12.83203125" customWidth="1"/>
    <col min="15619" max="15619" width="12.6640625" customWidth="1"/>
    <col min="15620" max="15620" width="60" customWidth="1"/>
    <col min="15621" max="15621" width="13.33203125" customWidth="1"/>
    <col min="15622" max="15622" width="12.5" customWidth="1"/>
    <col min="15623" max="15623" width="13.1640625" customWidth="1"/>
    <col min="15624" max="15624" width="20.83203125" customWidth="1"/>
    <col min="15625" max="15625" width="10" customWidth="1"/>
    <col min="15873" max="15873" width="12.83203125" customWidth="1"/>
    <col min="15875" max="15875" width="12.6640625" customWidth="1"/>
    <col min="15876" max="15876" width="60" customWidth="1"/>
    <col min="15877" max="15877" width="13.33203125" customWidth="1"/>
    <col min="15878" max="15878" width="12.5" customWidth="1"/>
    <col min="15879" max="15879" width="13.1640625" customWidth="1"/>
    <col min="15880" max="15880" width="20.83203125" customWidth="1"/>
    <col min="15881" max="15881" width="10" customWidth="1"/>
    <col min="16129" max="16129" width="12.83203125" customWidth="1"/>
    <col min="16131" max="16131" width="12.6640625" customWidth="1"/>
    <col min="16132" max="16132" width="60" customWidth="1"/>
    <col min="16133" max="16133" width="13.33203125" customWidth="1"/>
    <col min="16134" max="16134" width="12.5" customWidth="1"/>
    <col min="16135" max="16135" width="13.1640625" customWidth="1"/>
    <col min="16136" max="16136" width="20.83203125" customWidth="1"/>
    <col min="16137" max="16137" width="10" customWidth="1"/>
  </cols>
  <sheetData>
    <row r="1" spans="1:12" ht="20">
      <c r="B1" s="35" t="s">
        <v>0</v>
      </c>
      <c r="C1" s="35"/>
      <c r="D1" s="35"/>
      <c r="E1" s="35"/>
      <c r="F1" s="35"/>
      <c r="G1" s="35"/>
      <c r="H1" s="35"/>
      <c r="I1" s="35"/>
      <c r="J1" s="35"/>
    </row>
    <row r="2" spans="1:12" ht="20">
      <c r="B2" s="35" t="s">
        <v>1</v>
      </c>
      <c r="C2" s="35"/>
      <c r="D2" s="35"/>
      <c r="E2" s="35"/>
      <c r="F2" s="35"/>
      <c r="G2" s="35"/>
      <c r="H2" s="35"/>
      <c r="I2" s="35"/>
      <c r="J2" s="35"/>
    </row>
    <row r="4" spans="1:12" ht="16">
      <c r="A4" s="36" t="s">
        <v>2</v>
      </c>
      <c r="B4" s="29" t="s">
        <v>3</v>
      </c>
      <c r="C4" s="3" t="s">
        <v>4</v>
      </c>
      <c r="D4" s="37" t="s">
        <v>5</v>
      </c>
      <c r="E4" s="37" t="s">
        <v>179</v>
      </c>
      <c r="F4" s="39" t="s">
        <v>6</v>
      </c>
      <c r="G4" s="39"/>
      <c r="H4" s="39"/>
      <c r="I4" s="39"/>
      <c r="J4" s="39"/>
    </row>
    <row r="5" spans="1:12" ht="16">
      <c r="A5" s="36"/>
      <c r="B5" s="31"/>
      <c r="C5" s="3" t="s">
        <v>7</v>
      </c>
      <c r="D5" s="38"/>
      <c r="E5" s="38"/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2" ht="15" customHeight="1">
      <c r="A6" s="23">
        <v>1</v>
      </c>
      <c r="B6" s="21">
        <v>1</v>
      </c>
      <c r="C6" s="4" t="s">
        <v>141</v>
      </c>
      <c r="D6" s="4" t="s">
        <v>76</v>
      </c>
      <c r="E6" s="4" t="s">
        <v>160</v>
      </c>
      <c r="F6" s="4">
        <v>2</v>
      </c>
      <c r="G6" s="4">
        <v>2</v>
      </c>
      <c r="H6" s="4">
        <v>0</v>
      </c>
      <c r="I6" s="4">
        <v>0</v>
      </c>
      <c r="J6" s="4">
        <v>0</v>
      </c>
    </row>
    <row r="7" spans="1:12" ht="15" customHeight="1">
      <c r="A7" s="24"/>
      <c r="B7" s="21">
        <v>2</v>
      </c>
      <c r="C7" s="4" t="s">
        <v>140</v>
      </c>
      <c r="D7" s="4" t="s">
        <v>13</v>
      </c>
      <c r="E7" s="4" t="s">
        <v>13</v>
      </c>
      <c r="F7" s="4">
        <v>2</v>
      </c>
      <c r="G7" s="4">
        <v>2</v>
      </c>
      <c r="H7" s="4">
        <v>0</v>
      </c>
      <c r="I7" s="4">
        <v>0</v>
      </c>
      <c r="J7" s="4">
        <v>0</v>
      </c>
    </row>
    <row r="8" spans="1:12" ht="15" customHeight="1">
      <c r="A8" s="24"/>
      <c r="B8" s="21">
        <v>3</v>
      </c>
      <c r="C8" s="4" t="s">
        <v>142</v>
      </c>
      <c r="D8" s="4" t="s">
        <v>14</v>
      </c>
      <c r="E8" s="4" t="s">
        <v>161</v>
      </c>
      <c r="F8" s="4">
        <v>2</v>
      </c>
      <c r="G8" s="4">
        <v>2</v>
      </c>
      <c r="H8" s="4">
        <v>0</v>
      </c>
      <c r="I8" s="4">
        <v>0</v>
      </c>
      <c r="J8" s="4">
        <v>0</v>
      </c>
    </row>
    <row r="9" spans="1:12" ht="15" customHeight="1">
      <c r="A9" s="24"/>
      <c r="B9" s="21">
        <v>4</v>
      </c>
      <c r="C9" s="4" t="s">
        <v>143</v>
      </c>
      <c r="D9" s="4" t="s">
        <v>75</v>
      </c>
      <c r="E9" s="4" t="s">
        <v>162</v>
      </c>
      <c r="F9" s="4">
        <v>3</v>
      </c>
      <c r="G9" s="4">
        <v>3</v>
      </c>
      <c r="H9" s="4">
        <v>0</v>
      </c>
      <c r="I9" s="4">
        <v>0</v>
      </c>
      <c r="J9" s="4">
        <v>0</v>
      </c>
    </row>
    <row r="10" spans="1:12" ht="15" customHeight="1">
      <c r="A10" s="24"/>
      <c r="B10" s="21">
        <v>5</v>
      </c>
      <c r="C10" s="4" t="s">
        <v>93</v>
      </c>
      <c r="D10" s="4" t="s">
        <v>15</v>
      </c>
      <c r="E10" s="4" t="s">
        <v>163</v>
      </c>
      <c r="F10" s="4">
        <v>2</v>
      </c>
      <c r="G10" s="4">
        <v>2</v>
      </c>
      <c r="H10" s="4">
        <v>0</v>
      </c>
      <c r="I10" s="4">
        <v>0</v>
      </c>
      <c r="J10" s="4">
        <v>0</v>
      </c>
    </row>
    <row r="11" spans="1:12" ht="15" customHeight="1">
      <c r="A11" s="24"/>
      <c r="B11" s="21">
        <v>6</v>
      </c>
      <c r="C11" s="4" t="s">
        <v>94</v>
      </c>
      <c r="D11" s="4" t="s">
        <v>16</v>
      </c>
      <c r="E11" s="4" t="s">
        <v>164</v>
      </c>
      <c r="F11" s="4">
        <v>2</v>
      </c>
      <c r="G11" s="4">
        <v>2</v>
      </c>
      <c r="H11" s="4">
        <v>0</v>
      </c>
      <c r="I11" s="4">
        <v>0</v>
      </c>
      <c r="J11" s="4">
        <v>0</v>
      </c>
    </row>
    <row r="12" spans="1:12" ht="15" customHeight="1">
      <c r="A12" s="24"/>
      <c r="B12" s="21">
        <v>7</v>
      </c>
      <c r="C12" s="4" t="s">
        <v>95</v>
      </c>
      <c r="D12" s="4" t="s">
        <v>17</v>
      </c>
      <c r="E12" s="4" t="s">
        <v>165</v>
      </c>
      <c r="F12" s="4">
        <v>2</v>
      </c>
      <c r="G12" s="4">
        <v>2</v>
      </c>
      <c r="H12" s="4">
        <v>0</v>
      </c>
      <c r="I12" s="4">
        <v>0</v>
      </c>
      <c r="J12" s="4">
        <v>0</v>
      </c>
    </row>
    <row r="13" spans="1:12" ht="15" customHeight="1">
      <c r="A13" s="24"/>
      <c r="B13" s="21">
        <v>8</v>
      </c>
      <c r="C13" s="4" t="s">
        <v>96</v>
      </c>
      <c r="D13" s="4" t="s">
        <v>18</v>
      </c>
      <c r="E13" s="4" t="s">
        <v>166</v>
      </c>
      <c r="F13" s="4">
        <v>2</v>
      </c>
      <c r="G13" s="4">
        <v>2</v>
      </c>
      <c r="H13" s="4">
        <v>0</v>
      </c>
      <c r="I13" s="4">
        <v>0</v>
      </c>
      <c r="J13" s="4">
        <v>0</v>
      </c>
    </row>
    <row r="14" spans="1:12" ht="14.5" customHeight="1">
      <c r="A14" s="24"/>
      <c r="B14" s="21">
        <v>9</v>
      </c>
      <c r="C14" s="4" t="s">
        <v>97</v>
      </c>
      <c r="D14" s="4" t="s">
        <v>19</v>
      </c>
      <c r="E14" s="4" t="s">
        <v>167</v>
      </c>
      <c r="F14" s="4">
        <v>2</v>
      </c>
      <c r="G14" s="4">
        <v>2</v>
      </c>
      <c r="H14" s="4">
        <v>0</v>
      </c>
      <c r="I14" s="4">
        <v>0</v>
      </c>
      <c r="J14" s="4">
        <v>0</v>
      </c>
    </row>
    <row r="15" spans="1:12" ht="15" customHeight="1">
      <c r="A15" s="25"/>
      <c r="B15" s="26" t="s">
        <v>20</v>
      </c>
      <c r="C15" s="27"/>
      <c r="D15" s="27"/>
      <c r="E15" s="28"/>
      <c r="F15" s="5">
        <f>SUM(F6:F14)</f>
        <v>19</v>
      </c>
      <c r="G15" s="5">
        <f>SUM(G6:G14)</f>
        <v>19</v>
      </c>
      <c r="H15" s="5">
        <f>SUM(H6:H14)</f>
        <v>0</v>
      </c>
      <c r="I15" s="5">
        <f>SUM(I6:I14)</f>
        <v>0</v>
      </c>
      <c r="J15" s="5">
        <f>SUM(J6:J14)</f>
        <v>0</v>
      </c>
      <c r="K15" s="17"/>
      <c r="L15" s="18"/>
    </row>
    <row r="16" spans="1:12" ht="15" customHeight="1">
      <c r="A16" s="32">
        <v>2</v>
      </c>
      <c r="B16" s="21">
        <v>1</v>
      </c>
      <c r="C16" s="4" t="s">
        <v>144</v>
      </c>
      <c r="D16" s="4" t="s">
        <v>77</v>
      </c>
      <c r="E16" s="4" t="s">
        <v>168</v>
      </c>
      <c r="F16" s="4">
        <v>2</v>
      </c>
      <c r="G16" s="4">
        <v>2</v>
      </c>
      <c r="H16" s="4">
        <v>0</v>
      </c>
      <c r="I16" s="4">
        <v>0</v>
      </c>
      <c r="J16" s="4">
        <v>0</v>
      </c>
      <c r="K16" s="17"/>
      <c r="L16" s="18"/>
    </row>
    <row r="17" spans="1:12" ht="15" customHeight="1">
      <c r="A17" s="33"/>
      <c r="B17" s="21">
        <v>2</v>
      </c>
      <c r="C17" s="4" t="s">
        <v>145</v>
      </c>
      <c r="D17" s="4" t="s">
        <v>21</v>
      </c>
      <c r="E17" s="4" t="s">
        <v>169</v>
      </c>
      <c r="F17" s="4">
        <v>2</v>
      </c>
      <c r="G17" s="4">
        <v>2</v>
      </c>
      <c r="H17" s="4">
        <v>0</v>
      </c>
      <c r="I17" s="4">
        <v>0</v>
      </c>
      <c r="J17" s="4">
        <v>0</v>
      </c>
      <c r="K17" s="17"/>
      <c r="L17" s="18"/>
    </row>
    <row r="18" spans="1:12" ht="15" customHeight="1">
      <c r="A18" s="33"/>
      <c r="B18" s="21">
        <v>3</v>
      </c>
      <c r="C18" s="12" t="s">
        <v>146</v>
      </c>
      <c r="D18" s="4" t="s">
        <v>22</v>
      </c>
      <c r="E18" s="4" t="s">
        <v>170</v>
      </c>
      <c r="F18" s="4">
        <v>2</v>
      </c>
      <c r="G18" s="4">
        <v>1</v>
      </c>
      <c r="H18" s="4">
        <v>1</v>
      </c>
      <c r="I18" s="4">
        <v>0</v>
      </c>
      <c r="J18" s="4">
        <v>0</v>
      </c>
      <c r="K18" s="17"/>
      <c r="L18" s="18"/>
    </row>
    <row r="19" spans="1:12" ht="15" customHeight="1">
      <c r="A19" s="33"/>
      <c r="B19" s="21">
        <v>4</v>
      </c>
      <c r="C19" s="4" t="s">
        <v>147</v>
      </c>
      <c r="D19" s="4" t="s">
        <v>23</v>
      </c>
      <c r="E19" s="4" t="s">
        <v>171</v>
      </c>
      <c r="F19" s="14">
        <v>3</v>
      </c>
      <c r="G19" s="14">
        <v>3</v>
      </c>
      <c r="H19" s="14">
        <v>0</v>
      </c>
      <c r="I19" s="14">
        <v>0</v>
      </c>
      <c r="J19" s="14">
        <v>0</v>
      </c>
      <c r="K19" s="17"/>
      <c r="L19" s="18"/>
    </row>
    <row r="20" spans="1:12" ht="15" customHeight="1">
      <c r="A20" s="33"/>
      <c r="B20" s="21">
        <v>5</v>
      </c>
      <c r="C20" s="4" t="s">
        <v>148</v>
      </c>
      <c r="D20" s="4" t="s">
        <v>24</v>
      </c>
      <c r="E20" s="4" t="s">
        <v>172</v>
      </c>
      <c r="F20" s="14">
        <v>2</v>
      </c>
      <c r="G20" s="14">
        <v>0</v>
      </c>
      <c r="H20" s="14">
        <v>2</v>
      </c>
      <c r="I20" s="14">
        <v>0</v>
      </c>
      <c r="J20" s="14">
        <v>0</v>
      </c>
      <c r="K20" s="17"/>
      <c r="L20" s="18"/>
    </row>
    <row r="21" spans="1:12" ht="15" customHeight="1">
      <c r="A21" s="33"/>
      <c r="B21" s="21">
        <v>6</v>
      </c>
      <c r="C21" s="4" t="s">
        <v>98</v>
      </c>
      <c r="D21" s="4" t="s">
        <v>25</v>
      </c>
      <c r="E21" s="4" t="s">
        <v>173</v>
      </c>
      <c r="F21" s="4">
        <v>2</v>
      </c>
      <c r="G21" s="4">
        <v>2</v>
      </c>
      <c r="H21" s="4">
        <v>0</v>
      </c>
      <c r="I21" s="4">
        <v>0</v>
      </c>
      <c r="J21" s="4">
        <v>0</v>
      </c>
      <c r="K21" s="17"/>
      <c r="L21" s="18"/>
    </row>
    <row r="22" spans="1:12" ht="15" customHeight="1">
      <c r="A22" s="33"/>
      <c r="B22" s="21">
        <v>7</v>
      </c>
      <c r="C22" s="4" t="s">
        <v>99</v>
      </c>
      <c r="D22" s="4" t="s">
        <v>84</v>
      </c>
      <c r="E22" s="4" t="s">
        <v>174</v>
      </c>
      <c r="F22" s="14">
        <v>2</v>
      </c>
      <c r="G22" s="14">
        <v>2</v>
      </c>
      <c r="H22" s="14">
        <v>0</v>
      </c>
      <c r="I22" s="14">
        <v>0</v>
      </c>
      <c r="J22" s="14">
        <v>0</v>
      </c>
      <c r="K22" s="17"/>
      <c r="L22" s="18"/>
    </row>
    <row r="23" spans="1:12" ht="15" customHeight="1">
      <c r="A23" s="33"/>
      <c r="B23" s="21">
        <v>8</v>
      </c>
      <c r="C23" s="4" t="s">
        <v>100</v>
      </c>
      <c r="D23" s="4" t="s">
        <v>26</v>
      </c>
      <c r="E23" s="4" t="s">
        <v>175</v>
      </c>
      <c r="F23" s="4">
        <v>2</v>
      </c>
      <c r="G23" s="4">
        <v>2</v>
      </c>
      <c r="H23" s="4">
        <v>0</v>
      </c>
      <c r="I23" s="4">
        <v>0</v>
      </c>
      <c r="J23" s="4">
        <v>0</v>
      </c>
    </row>
    <row r="24" spans="1:12" ht="15.5" customHeight="1">
      <c r="A24" s="33"/>
      <c r="B24" s="21">
        <v>9</v>
      </c>
      <c r="C24" s="4" t="s">
        <v>101</v>
      </c>
      <c r="D24" s="4" t="s">
        <v>39</v>
      </c>
      <c r="E24" s="4" t="s">
        <v>176</v>
      </c>
      <c r="F24" s="4">
        <v>2</v>
      </c>
      <c r="G24" s="4">
        <v>2</v>
      </c>
      <c r="H24" s="4">
        <v>0</v>
      </c>
      <c r="I24" s="4">
        <v>0</v>
      </c>
      <c r="J24" s="4">
        <v>0</v>
      </c>
    </row>
    <row r="25" spans="1:12" ht="15" customHeight="1">
      <c r="A25" s="33"/>
      <c r="B25" s="21">
        <v>10</v>
      </c>
      <c r="C25" s="4" t="s">
        <v>102</v>
      </c>
      <c r="D25" s="4" t="s">
        <v>27</v>
      </c>
      <c r="E25" s="4" t="s">
        <v>177</v>
      </c>
      <c r="F25" s="4">
        <v>2</v>
      </c>
      <c r="G25" s="4">
        <v>2</v>
      </c>
      <c r="H25" s="4">
        <v>0</v>
      </c>
      <c r="I25" s="4">
        <v>0</v>
      </c>
      <c r="J25" s="4">
        <v>0</v>
      </c>
      <c r="K25" s="17"/>
      <c r="L25" s="18"/>
    </row>
    <row r="26" spans="1:12" ht="15.5" customHeight="1">
      <c r="A26" s="33"/>
      <c r="B26" s="21">
        <v>11</v>
      </c>
      <c r="C26" s="4" t="s">
        <v>103</v>
      </c>
      <c r="D26" s="14" t="s">
        <v>82</v>
      </c>
      <c r="E26" s="14" t="s">
        <v>178</v>
      </c>
      <c r="F26" s="14">
        <v>2</v>
      </c>
      <c r="G26" s="14">
        <v>2</v>
      </c>
      <c r="H26" s="14">
        <v>0</v>
      </c>
      <c r="I26" s="14">
        <v>0</v>
      </c>
      <c r="J26" s="14">
        <v>0</v>
      </c>
    </row>
    <row r="27" spans="1:12" ht="15.5" customHeight="1">
      <c r="A27" s="34"/>
      <c r="B27" s="6" t="s">
        <v>28</v>
      </c>
      <c r="C27" s="7"/>
      <c r="D27" s="7"/>
      <c r="E27" s="7"/>
      <c r="F27" s="5">
        <f>SUM(F16:F26)</f>
        <v>23</v>
      </c>
      <c r="G27" s="5">
        <f>SUM(G16:G26)</f>
        <v>20</v>
      </c>
      <c r="H27" s="5">
        <f>SUM(H16:H26)</f>
        <v>3</v>
      </c>
      <c r="I27" s="5">
        <f>SUM(I16:I26)</f>
        <v>0</v>
      </c>
      <c r="J27" s="5">
        <f ca="1">SUM(J16:J56)</f>
        <v>0</v>
      </c>
    </row>
    <row r="28" spans="1:12" ht="15.5" customHeight="1">
      <c r="A28" s="32">
        <v>3</v>
      </c>
      <c r="B28" s="21">
        <v>1</v>
      </c>
      <c r="C28" s="12" t="s">
        <v>149</v>
      </c>
      <c r="D28" s="4" t="s">
        <v>80</v>
      </c>
      <c r="E28" s="4" t="s">
        <v>180</v>
      </c>
      <c r="F28" s="4">
        <v>2</v>
      </c>
      <c r="G28" s="4">
        <v>0</v>
      </c>
      <c r="H28" s="4">
        <v>2</v>
      </c>
      <c r="I28" s="4">
        <v>0</v>
      </c>
      <c r="J28" s="4">
        <v>0</v>
      </c>
    </row>
    <row r="29" spans="1:12" ht="17.5" customHeight="1">
      <c r="A29" s="33"/>
      <c r="B29" s="21">
        <v>2</v>
      </c>
      <c r="C29" s="14" t="s">
        <v>150</v>
      </c>
      <c r="D29" s="4" t="s">
        <v>29</v>
      </c>
      <c r="E29" s="4" t="s">
        <v>181</v>
      </c>
      <c r="F29" s="4">
        <v>3</v>
      </c>
      <c r="G29" s="4">
        <v>3</v>
      </c>
      <c r="H29" s="4">
        <v>0</v>
      </c>
      <c r="I29" s="4">
        <v>0</v>
      </c>
      <c r="J29" s="4">
        <v>0</v>
      </c>
    </row>
    <row r="30" spans="1:12" ht="15" customHeight="1">
      <c r="A30" s="33"/>
      <c r="B30" s="21">
        <v>3</v>
      </c>
      <c r="C30" s="14" t="s">
        <v>151</v>
      </c>
      <c r="D30" s="4" t="s">
        <v>30</v>
      </c>
      <c r="E30" s="4" t="s">
        <v>182</v>
      </c>
      <c r="F30" s="4">
        <v>2</v>
      </c>
      <c r="G30" s="4">
        <v>2</v>
      </c>
      <c r="H30" s="4">
        <v>0</v>
      </c>
      <c r="I30" s="4">
        <v>0</v>
      </c>
      <c r="J30" s="4">
        <v>0</v>
      </c>
    </row>
    <row r="31" spans="1:12" ht="15" customHeight="1">
      <c r="A31" s="33"/>
      <c r="B31" s="21">
        <v>4</v>
      </c>
      <c r="C31" s="4" t="s">
        <v>104</v>
      </c>
      <c r="D31" s="4" t="s">
        <v>83</v>
      </c>
      <c r="E31" s="4" t="s">
        <v>183</v>
      </c>
      <c r="F31" s="4">
        <v>2</v>
      </c>
      <c r="G31" s="4">
        <v>2</v>
      </c>
      <c r="H31" s="4">
        <v>0</v>
      </c>
      <c r="I31" s="4">
        <v>0</v>
      </c>
      <c r="J31" s="4">
        <v>0</v>
      </c>
    </row>
    <row r="32" spans="1:12" ht="15" customHeight="1">
      <c r="A32" s="33"/>
      <c r="B32" s="21">
        <v>5</v>
      </c>
      <c r="C32" s="4" t="s">
        <v>105</v>
      </c>
      <c r="D32" s="4" t="s">
        <v>31</v>
      </c>
      <c r="E32" s="4" t="s">
        <v>184</v>
      </c>
      <c r="F32" s="4">
        <v>2</v>
      </c>
      <c r="G32" s="4">
        <v>2</v>
      </c>
      <c r="H32" s="4">
        <v>0</v>
      </c>
      <c r="I32" s="4">
        <v>0</v>
      </c>
      <c r="J32" s="4">
        <v>0</v>
      </c>
      <c r="K32" s="17"/>
      <c r="L32" s="18"/>
    </row>
    <row r="33" spans="1:12" ht="15" customHeight="1">
      <c r="A33" s="33"/>
      <c r="B33" s="21">
        <v>6</v>
      </c>
      <c r="C33" s="4" t="s">
        <v>106</v>
      </c>
      <c r="D33" s="4" t="s">
        <v>32</v>
      </c>
      <c r="E33" s="4" t="s">
        <v>185</v>
      </c>
      <c r="F33" s="4">
        <v>2</v>
      </c>
      <c r="G33" s="4">
        <v>2</v>
      </c>
      <c r="H33" s="4">
        <v>0</v>
      </c>
      <c r="I33" s="4">
        <v>0</v>
      </c>
      <c r="J33" s="4">
        <v>0</v>
      </c>
    </row>
    <row r="34" spans="1:12" ht="15" customHeight="1">
      <c r="A34" s="33"/>
      <c r="B34" s="21">
        <v>7</v>
      </c>
      <c r="C34" s="4" t="s">
        <v>107</v>
      </c>
      <c r="D34" s="4" t="s">
        <v>81</v>
      </c>
      <c r="E34" s="4" t="s">
        <v>186</v>
      </c>
      <c r="F34" s="4">
        <v>2</v>
      </c>
      <c r="G34" s="4">
        <v>2</v>
      </c>
      <c r="H34" s="4">
        <v>0</v>
      </c>
      <c r="I34" s="4">
        <v>0</v>
      </c>
      <c r="J34" s="4">
        <v>0</v>
      </c>
    </row>
    <row r="35" spans="1:12" ht="15" customHeight="1">
      <c r="A35" s="33"/>
      <c r="B35" s="21">
        <v>8</v>
      </c>
      <c r="C35" s="4" t="s">
        <v>108</v>
      </c>
      <c r="D35" s="4" t="s">
        <v>34</v>
      </c>
      <c r="E35" s="4" t="s">
        <v>187</v>
      </c>
      <c r="F35" s="4">
        <v>2</v>
      </c>
      <c r="G35" s="4">
        <v>2</v>
      </c>
      <c r="H35" s="4">
        <v>0</v>
      </c>
      <c r="I35" s="4">
        <v>0</v>
      </c>
      <c r="J35" s="4">
        <v>0</v>
      </c>
    </row>
    <row r="36" spans="1:12" ht="15" customHeight="1">
      <c r="A36" s="33"/>
      <c r="B36" s="21">
        <v>9</v>
      </c>
      <c r="C36" s="4" t="s">
        <v>109</v>
      </c>
      <c r="D36" s="4" t="s">
        <v>138</v>
      </c>
      <c r="E36" s="4" t="s">
        <v>188</v>
      </c>
      <c r="F36" s="4">
        <v>2</v>
      </c>
      <c r="G36" s="4">
        <v>2</v>
      </c>
      <c r="H36" s="4">
        <v>0</v>
      </c>
      <c r="I36" s="4">
        <v>0</v>
      </c>
      <c r="J36" s="4">
        <v>0</v>
      </c>
    </row>
    <row r="37" spans="1:12" ht="15" customHeight="1">
      <c r="A37" s="33"/>
      <c r="B37" s="21">
        <v>10</v>
      </c>
      <c r="C37" s="4" t="s">
        <v>132</v>
      </c>
      <c r="D37" s="4" t="s">
        <v>87</v>
      </c>
      <c r="E37" s="4" t="s">
        <v>189</v>
      </c>
      <c r="F37" s="4">
        <v>2</v>
      </c>
      <c r="G37" s="4">
        <v>2</v>
      </c>
      <c r="H37" s="4">
        <v>0</v>
      </c>
      <c r="I37" s="4">
        <v>0</v>
      </c>
      <c r="J37" s="4">
        <v>0</v>
      </c>
      <c r="K37" s="17"/>
      <c r="L37" s="18"/>
    </row>
    <row r="38" spans="1:12" ht="15" customHeight="1">
      <c r="A38" s="34"/>
      <c r="B38" s="26" t="s">
        <v>35</v>
      </c>
      <c r="C38" s="27"/>
      <c r="D38" s="27"/>
      <c r="E38" s="28"/>
      <c r="F38" s="5">
        <f>SUM(F28:F37)</f>
        <v>21</v>
      </c>
      <c r="G38" s="5">
        <f>SUM(G28:G37)</f>
        <v>19</v>
      </c>
      <c r="H38" s="5">
        <f>SUM(H28:H37)</f>
        <v>2</v>
      </c>
      <c r="I38" s="5">
        <f>SUM(I28:I37)</f>
        <v>0</v>
      </c>
      <c r="J38" s="5">
        <f>SUM(J28:J37)</f>
        <v>0</v>
      </c>
    </row>
    <row r="39" spans="1:12" ht="15.5" customHeight="1">
      <c r="A39" s="29">
        <v>4</v>
      </c>
      <c r="B39" s="21">
        <v>1</v>
      </c>
      <c r="C39" s="14" t="s">
        <v>152</v>
      </c>
      <c r="D39" s="4" t="s">
        <v>36</v>
      </c>
      <c r="E39" s="4" t="s">
        <v>190</v>
      </c>
      <c r="F39" s="4">
        <v>3</v>
      </c>
      <c r="G39" s="4">
        <v>2</v>
      </c>
      <c r="H39" s="4">
        <v>1</v>
      </c>
      <c r="I39" s="4">
        <v>0</v>
      </c>
      <c r="J39" s="4">
        <v>0</v>
      </c>
    </row>
    <row r="40" spans="1:12" ht="16">
      <c r="A40" s="30"/>
      <c r="B40" s="21">
        <v>2</v>
      </c>
      <c r="C40" s="14" t="s">
        <v>153</v>
      </c>
      <c r="D40" s="4" t="s">
        <v>37</v>
      </c>
      <c r="E40" s="4" t="s">
        <v>191</v>
      </c>
      <c r="F40" s="4">
        <v>3</v>
      </c>
      <c r="G40" s="4">
        <v>3</v>
      </c>
      <c r="H40" s="4">
        <v>0</v>
      </c>
      <c r="I40" s="4">
        <v>0</v>
      </c>
      <c r="J40" s="4">
        <v>0</v>
      </c>
    </row>
    <row r="41" spans="1:12" ht="16">
      <c r="A41" s="30"/>
      <c r="B41" s="59">
        <v>3</v>
      </c>
      <c r="C41" s="60" t="s">
        <v>154</v>
      </c>
      <c r="D41" s="60" t="s">
        <v>223</v>
      </c>
      <c r="E41" s="60" t="s">
        <v>223</v>
      </c>
      <c r="F41" s="60">
        <v>2</v>
      </c>
      <c r="G41" s="60">
        <v>2</v>
      </c>
      <c r="H41" s="60">
        <v>0</v>
      </c>
      <c r="I41" s="60">
        <v>0</v>
      </c>
      <c r="J41" s="60">
        <v>0</v>
      </c>
      <c r="K41" s="61" t="s">
        <v>230</v>
      </c>
      <c r="L41" s="61"/>
    </row>
    <row r="42" spans="1:12" ht="16">
      <c r="A42" s="30"/>
      <c r="B42" s="21">
        <v>4</v>
      </c>
      <c r="C42" s="4" t="s">
        <v>110</v>
      </c>
      <c r="D42" s="4" t="s">
        <v>40</v>
      </c>
      <c r="E42" s="4" t="s">
        <v>192</v>
      </c>
      <c r="F42" s="4">
        <v>3</v>
      </c>
      <c r="G42" s="4">
        <v>3</v>
      </c>
      <c r="H42" s="4">
        <v>0</v>
      </c>
      <c r="I42" s="4">
        <v>0</v>
      </c>
      <c r="J42" s="4">
        <v>0</v>
      </c>
    </row>
    <row r="43" spans="1:12" ht="16">
      <c r="A43" s="30"/>
      <c r="B43" s="21">
        <v>5</v>
      </c>
      <c r="C43" s="4" t="s">
        <v>111</v>
      </c>
      <c r="D43" s="4" t="s">
        <v>41</v>
      </c>
      <c r="E43" s="4" t="s">
        <v>193</v>
      </c>
      <c r="F43" s="4">
        <v>2</v>
      </c>
      <c r="G43" s="4">
        <v>2</v>
      </c>
      <c r="H43" s="4">
        <v>0</v>
      </c>
      <c r="I43" s="4">
        <v>0</v>
      </c>
      <c r="J43" s="4">
        <v>0</v>
      </c>
    </row>
    <row r="44" spans="1:12" ht="16">
      <c r="A44" s="30"/>
      <c r="B44" s="21">
        <v>6</v>
      </c>
      <c r="C44" s="4" t="s">
        <v>112</v>
      </c>
      <c r="D44" s="4" t="s">
        <v>42</v>
      </c>
      <c r="E44" s="4" t="s">
        <v>194</v>
      </c>
      <c r="F44" s="4">
        <v>3</v>
      </c>
      <c r="G44" s="4">
        <v>3</v>
      </c>
      <c r="H44" s="4">
        <v>0</v>
      </c>
      <c r="I44" s="4">
        <v>0</v>
      </c>
      <c r="J44" s="4">
        <v>0</v>
      </c>
    </row>
    <row r="45" spans="1:12" ht="17.5" customHeight="1">
      <c r="A45" s="30"/>
      <c r="B45" s="21">
        <v>7</v>
      </c>
      <c r="C45" s="4" t="s">
        <v>113</v>
      </c>
      <c r="D45" s="4" t="s">
        <v>48</v>
      </c>
      <c r="E45" s="4" t="s">
        <v>195</v>
      </c>
      <c r="F45" s="4">
        <v>2</v>
      </c>
      <c r="G45" s="4">
        <v>2</v>
      </c>
      <c r="H45" s="4">
        <v>0</v>
      </c>
      <c r="I45" s="4">
        <v>0</v>
      </c>
      <c r="J45" s="4">
        <v>0</v>
      </c>
    </row>
    <row r="46" spans="1:12" ht="17.5" customHeight="1">
      <c r="A46" s="30"/>
      <c r="B46" s="21">
        <v>8</v>
      </c>
      <c r="C46" s="4" t="s">
        <v>114</v>
      </c>
      <c r="D46" s="4" t="s">
        <v>74</v>
      </c>
      <c r="E46" s="4" t="s">
        <v>196</v>
      </c>
      <c r="F46" s="4">
        <v>2</v>
      </c>
      <c r="G46" s="4">
        <v>2</v>
      </c>
      <c r="H46" s="4">
        <v>0</v>
      </c>
      <c r="I46" s="4">
        <v>0</v>
      </c>
      <c r="J46" s="4">
        <v>0</v>
      </c>
    </row>
    <row r="47" spans="1:12" ht="17.5" customHeight="1">
      <c r="A47" s="30"/>
      <c r="B47" s="21">
        <v>9</v>
      </c>
      <c r="C47" s="4" t="s">
        <v>133</v>
      </c>
      <c r="D47" s="4" t="s">
        <v>88</v>
      </c>
      <c r="E47" s="4" t="s">
        <v>197</v>
      </c>
      <c r="F47" s="4">
        <v>2</v>
      </c>
      <c r="G47" s="4">
        <v>2</v>
      </c>
      <c r="H47" s="4">
        <v>0</v>
      </c>
      <c r="I47" s="4">
        <v>0</v>
      </c>
      <c r="J47" s="4">
        <v>0</v>
      </c>
    </row>
    <row r="48" spans="1:12" ht="16">
      <c r="A48" s="31"/>
      <c r="B48" s="6" t="s">
        <v>44</v>
      </c>
      <c r="C48" s="7"/>
      <c r="D48" s="7"/>
      <c r="E48" s="7"/>
      <c r="F48" s="5">
        <f>SUM(F39:F47)</f>
        <v>22</v>
      </c>
      <c r="G48" s="5">
        <f>SUM(G39:G47)</f>
        <v>21</v>
      </c>
      <c r="H48" s="5">
        <f>SUM(H39:H47)</f>
        <v>1</v>
      </c>
      <c r="I48" s="5">
        <f>SUM(I39:I47)</f>
        <v>0</v>
      </c>
      <c r="J48" s="5">
        <f>SUM(J39:J47)</f>
        <v>0</v>
      </c>
    </row>
    <row r="49" spans="1:10" ht="15.5" customHeight="1">
      <c r="A49" s="32">
        <v>5</v>
      </c>
      <c r="B49" s="21">
        <v>1</v>
      </c>
      <c r="C49" s="14" t="s">
        <v>159</v>
      </c>
      <c r="D49" s="4" t="s">
        <v>45</v>
      </c>
      <c r="E49" s="4" t="s">
        <v>198</v>
      </c>
      <c r="F49" s="4">
        <v>3</v>
      </c>
      <c r="G49" s="4">
        <v>3</v>
      </c>
      <c r="H49" s="4">
        <v>0</v>
      </c>
      <c r="I49" s="4">
        <v>0</v>
      </c>
      <c r="J49" s="4">
        <v>0</v>
      </c>
    </row>
    <row r="50" spans="1:10" ht="15.5" customHeight="1">
      <c r="A50" s="33"/>
      <c r="B50" s="21">
        <v>2</v>
      </c>
      <c r="C50" s="14" t="s">
        <v>155</v>
      </c>
      <c r="D50" s="4" t="s">
        <v>38</v>
      </c>
      <c r="E50" s="4" t="s">
        <v>199</v>
      </c>
      <c r="F50" s="4">
        <v>3</v>
      </c>
      <c r="G50" s="4">
        <v>3</v>
      </c>
      <c r="H50" s="4">
        <v>0</v>
      </c>
      <c r="I50" s="4">
        <v>0</v>
      </c>
      <c r="J50" s="4">
        <v>0</v>
      </c>
    </row>
    <row r="51" spans="1:10" ht="15" customHeight="1">
      <c r="A51" s="33"/>
      <c r="B51" s="21">
        <v>3</v>
      </c>
      <c r="C51" s="4" t="s">
        <v>115</v>
      </c>
      <c r="D51" s="4" t="s">
        <v>46</v>
      </c>
      <c r="E51" s="4" t="s">
        <v>200</v>
      </c>
      <c r="F51" s="4">
        <v>2</v>
      </c>
      <c r="G51" s="4">
        <v>2</v>
      </c>
      <c r="H51" s="4">
        <v>0</v>
      </c>
      <c r="I51" s="4">
        <v>0</v>
      </c>
      <c r="J51" s="4">
        <v>0</v>
      </c>
    </row>
    <row r="52" spans="1:10" ht="15" customHeight="1">
      <c r="A52" s="33"/>
      <c r="B52" s="21">
        <v>4</v>
      </c>
      <c r="C52" s="4" t="s">
        <v>116</v>
      </c>
      <c r="D52" s="4" t="s">
        <v>47</v>
      </c>
      <c r="E52" s="4" t="s">
        <v>201</v>
      </c>
      <c r="F52" s="4">
        <v>2</v>
      </c>
      <c r="G52" s="4">
        <v>2</v>
      </c>
      <c r="H52" s="4">
        <v>0</v>
      </c>
      <c r="I52" s="4">
        <v>0</v>
      </c>
      <c r="J52" s="4">
        <v>0</v>
      </c>
    </row>
    <row r="53" spans="1:10" ht="15" customHeight="1">
      <c r="A53" s="33"/>
      <c r="B53" s="21">
        <v>5</v>
      </c>
      <c r="C53" s="4" t="s">
        <v>117</v>
      </c>
      <c r="D53" s="4" t="s">
        <v>50</v>
      </c>
      <c r="E53" s="4" t="s">
        <v>202</v>
      </c>
      <c r="F53" s="4">
        <v>2</v>
      </c>
      <c r="G53" s="4">
        <v>2</v>
      </c>
      <c r="H53" s="4">
        <v>0</v>
      </c>
      <c r="I53" s="4">
        <v>0</v>
      </c>
      <c r="J53" s="4">
        <v>0</v>
      </c>
    </row>
    <row r="54" spans="1:10" ht="15.5" customHeight="1">
      <c r="A54" s="33"/>
      <c r="B54" s="21">
        <v>6</v>
      </c>
      <c r="C54" s="4" t="s">
        <v>118</v>
      </c>
      <c r="D54" s="4" t="s">
        <v>55</v>
      </c>
      <c r="E54" s="4" t="s">
        <v>203</v>
      </c>
      <c r="F54" s="4">
        <v>2</v>
      </c>
      <c r="G54" s="4">
        <v>2</v>
      </c>
      <c r="H54" s="4">
        <v>0</v>
      </c>
      <c r="I54" s="4">
        <v>0</v>
      </c>
      <c r="J54" s="4">
        <v>0</v>
      </c>
    </row>
    <row r="55" spans="1:10" ht="15" customHeight="1">
      <c r="A55" s="33"/>
      <c r="B55" s="21">
        <v>7</v>
      </c>
      <c r="C55" s="4" t="s">
        <v>119</v>
      </c>
      <c r="D55" s="4" t="s">
        <v>49</v>
      </c>
      <c r="E55" s="4" t="s">
        <v>204</v>
      </c>
      <c r="F55" s="4">
        <v>2</v>
      </c>
      <c r="G55" s="4">
        <v>2</v>
      </c>
      <c r="H55" s="4">
        <v>0</v>
      </c>
      <c r="I55" s="4">
        <v>0</v>
      </c>
      <c r="J55" s="4">
        <v>0</v>
      </c>
    </row>
    <row r="56" spans="1:10" ht="15" customHeight="1">
      <c r="A56" s="33"/>
      <c r="B56" s="21">
        <v>8</v>
      </c>
      <c r="C56" s="4" t="s">
        <v>120</v>
      </c>
      <c r="D56" s="4" t="s">
        <v>85</v>
      </c>
      <c r="E56" s="4" t="s">
        <v>205</v>
      </c>
      <c r="F56" s="4">
        <v>2</v>
      </c>
      <c r="G56" s="4">
        <v>2</v>
      </c>
      <c r="H56" s="4">
        <v>0</v>
      </c>
      <c r="I56" s="4">
        <v>0</v>
      </c>
      <c r="J56" s="4">
        <v>0</v>
      </c>
    </row>
    <row r="57" spans="1:10" ht="15.5" customHeight="1">
      <c r="A57" s="33"/>
      <c r="B57" s="21">
        <v>9</v>
      </c>
      <c r="C57" s="4" t="s">
        <v>121</v>
      </c>
      <c r="D57" s="4" t="s">
        <v>33</v>
      </c>
      <c r="E57" s="4" t="s">
        <v>206</v>
      </c>
      <c r="F57" s="4">
        <v>2</v>
      </c>
      <c r="G57" s="4">
        <v>2</v>
      </c>
      <c r="H57" s="4">
        <v>0</v>
      </c>
      <c r="I57" s="4">
        <v>0</v>
      </c>
      <c r="J57" s="4">
        <v>0</v>
      </c>
    </row>
    <row r="58" spans="1:10" ht="15.5" customHeight="1">
      <c r="A58" s="33"/>
      <c r="B58" s="21">
        <v>10</v>
      </c>
      <c r="C58" s="4" t="s">
        <v>122</v>
      </c>
      <c r="D58" s="4" t="s">
        <v>53</v>
      </c>
      <c r="E58" s="4" t="s">
        <v>207</v>
      </c>
      <c r="F58" s="4">
        <v>1</v>
      </c>
      <c r="G58" s="4">
        <v>0</v>
      </c>
      <c r="H58" s="4">
        <v>0</v>
      </c>
      <c r="I58" s="4">
        <v>1</v>
      </c>
      <c r="J58" s="4">
        <v>0</v>
      </c>
    </row>
    <row r="59" spans="1:10" ht="15" customHeight="1">
      <c r="A59" s="33"/>
      <c r="B59" s="21">
        <v>11</v>
      </c>
      <c r="C59" s="4" t="s">
        <v>134</v>
      </c>
      <c r="D59" s="4" t="s">
        <v>89</v>
      </c>
      <c r="E59" s="4" t="s">
        <v>208</v>
      </c>
      <c r="F59" s="4">
        <v>2</v>
      </c>
      <c r="G59" s="4">
        <v>2</v>
      </c>
      <c r="H59" s="4">
        <v>0</v>
      </c>
      <c r="I59" s="4">
        <v>0</v>
      </c>
      <c r="J59" s="4">
        <v>0</v>
      </c>
    </row>
    <row r="60" spans="1:10" ht="15.5" customHeight="1">
      <c r="A60" s="34"/>
      <c r="B60" s="6" t="s">
        <v>51</v>
      </c>
      <c r="C60" s="7"/>
      <c r="D60" s="7"/>
      <c r="E60" s="7"/>
      <c r="F60" s="5">
        <f>SUM(F49:F59)</f>
        <v>23</v>
      </c>
      <c r="G60" s="5">
        <f>SUM(G49:G59)</f>
        <v>22</v>
      </c>
      <c r="H60" s="5">
        <f>SUM(H49:H59)</f>
        <v>0</v>
      </c>
      <c r="I60" s="5">
        <f>SUM(I49:I59)</f>
        <v>1</v>
      </c>
      <c r="J60" s="5">
        <f>SUM(J49:J59)</f>
        <v>0</v>
      </c>
    </row>
    <row r="61" spans="1:10" ht="16">
      <c r="A61" s="56">
        <v>6</v>
      </c>
      <c r="B61" s="21">
        <v>1</v>
      </c>
      <c r="C61" s="12" t="s">
        <v>156</v>
      </c>
      <c r="D61" s="4" t="s">
        <v>56</v>
      </c>
      <c r="E61" s="4" t="s">
        <v>209</v>
      </c>
      <c r="F61" s="4">
        <v>3</v>
      </c>
      <c r="G61" s="4">
        <v>0</v>
      </c>
      <c r="H61" s="4">
        <v>0</v>
      </c>
      <c r="I61" s="4">
        <v>3</v>
      </c>
      <c r="J61" s="4">
        <v>0</v>
      </c>
    </row>
    <row r="62" spans="1:10" ht="15" customHeight="1">
      <c r="A62" s="57"/>
      <c r="B62" s="21">
        <v>2</v>
      </c>
      <c r="C62" s="14" t="s">
        <v>157</v>
      </c>
      <c r="D62" s="4" t="s">
        <v>52</v>
      </c>
      <c r="E62" s="4" t="s">
        <v>210</v>
      </c>
      <c r="F62" s="4">
        <v>3</v>
      </c>
      <c r="G62" s="4">
        <v>3</v>
      </c>
      <c r="H62" s="4">
        <v>0</v>
      </c>
      <c r="I62" s="4">
        <v>0</v>
      </c>
      <c r="J62" s="4">
        <v>0</v>
      </c>
    </row>
    <row r="63" spans="1:10" ht="16">
      <c r="A63" s="57"/>
      <c r="B63" s="21">
        <v>3</v>
      </c>
      <c r="C63" s="4" t="s">
        <v>123</v>
      </c>
      <c r="D63" s="4" t="s">
        <v>54</v>
      </c>
      <c r="E63" s="4" t="s">
        <v>211</v>
      </c>
      <c r="F63" s="4">
        <v>2</v>
      </c>
      <c r="G63" s="4">
        <v>2</v>
      </c>
      <c r="H63" s="4">
        <v>0</v>
      </c>
      <c r="I63" s="4">
        <v>0</v>
      </c>
      <c r="J63" s="4">
        <v>0</v>
      </c>
    </row>
    <row r="64" spans="1:10" ht="16">
      <c r="A64" s="57"/>
      <c r="B64" s="49">
        <v>4</v>
      </c>
      <c r="C64" s="50" t="s">
        <v>124</v>
      </c>
      <c r="D64" s="50" t="s">
        <v>220</v>
      </c>
      <c r="E64" s="50" t="s">
        <v>221</v>
      </c>
      <c r="F64" s="50">
        <v>2</v>
      </c>
      <c r="G64" s="50">
        <v>2</v>
      </c>
      <c r="H64" s="50">
        <v>0</v>
      </c>
      <c r="I64" s="50">
        <v>0</v>
      </c>
      <c r="J64" s="50">
        <v>0</v>
      </c>
    </row>
    <row r="65" spans="1:10" ht="16">
      <c r="A65" s="57"/>
      <c r="B65" s="49">
        <v>5</v>
      </c>
      <c r="C65" s="50" t="s">
        <v>125</v>
      </c>
      <c r="D65" s="50" t="s">
        <v>86</v>
      </c>
      <c r="E65" s="50" t="s">
        <v>212</v>
      </c>
      <c r="F65" s="50">
        <v>2</v>
      </c>
      <c r="G65" s="50">
        <v>2</v>
      </c>
      <c r="H65" s="50">
        <v>0</v>
      </c>
      <c r="I65" s="50">
        <v>0</v>
      </c>
      <c r="J65" s="50">
        <v>0</v>
      </c>
    </row>
    <row r="66" spans="1:10" ht="16">
      <c r="A66" s="57"/>
      <c r="B66" s="49">
        <v>6</v>
      </c>
      <c r="C66" s="50" t="s">
        <v>126</v>
      </c>
      <c r="D66" s="50" t="s">
        <v>43</v>
      </c>
      <c r="E66" s="50" t="s">
        <v>213</v>
      </c>
      <c r="F66" s="50">
        <v>2</v>
      </c>
      <c r="G66" s="50">
        <v>2</v>
      </c>
      <c r="H66" s="50">
        <v>0</v>
      </c>
      <c r="I66" s="50">
        <v>0</v>
      </c>
      <c r="J66" s="50">
        <v>0</v>
      </c>
    </row>
    <row r="67" spans="1:10" ht="15.5" customHeight="1">
      <c r="A67" s="57"/>
      <c r="B67" s="49">
        <v>7</v>
      </c>
      <c r="C67" s="50" t="s">
        <v>135</v>
      </c>
      <c r="D67" s="50" t="s">
        <v>139</v>
      </c>
      <c r="E67" s="50" t="s">
        <v>214</v>
      </c>
      <c r="F67" s="50">
        <v>2</v>
      </c>
      <c r="G67" s="50">
        <v>2</v>
      </c>
      <c r="H67" s="50">
        <v>0</v>
      </c>
      <c r="I67" s="50">
        <v>0</v>
      </c>
      <c r="J67" s="50">
        <v>0</v>
      </c>
    </row>
    <row r="68" spans="1:10" ht="15.5" customHeight="1">
      <c r="A68" s="57"/>
      <c r="B68" s="49">
        <v>8</v>
      </c>
      <c r="C68" s="50" t="s">
        <v>127</v>
      </c>
      <c r="D68" s="50" t="s">
        <v>222</v>
      </c>
      <c r="E68" s="50" t="s">
        <v>225</v>
      </c>
      <c r="F68" s="50">
        <v>3</v>
      </c>
      <c r="G68" s="50">
        <v>0</v>
      </c>
      <c r="H68" s="50">
        <v>3</v>
      </c>
      <c r="I68" s="50">
        <v>0</v>
      </c>
      <c r="J68" s="50">
        <v>0</v>
      </c>
    </row>
    <row r="69" spans="1:10" ht="15.5" customHeight="1">
      <c r="A69" s="57"/>
      <c r="B69" s="49">
        <v>9</v>
      </c>
      <c r="C69" s="50" t="s">
        <v>128</v>
      </c>
      <c r="D69" s="50" t="s">
        <v>224</v>
      </c>
      <c r="E69" s="50" t="s">
        <v>224</v>
      </c>
      <c r="F69" s="50">
        <v>2</v>
      </c>
      <c r="G69" s="50">
        <v>2</v>
      </c>
      <c r="H69" s="50">
        <v>0</v>
      </c>
      <c r="I69" s="50">
        <v>0</v>
      </c>
      <c r="J69" s="50">
        <v>0</v>
      </c>
    </row>
    <row r="70" spans="1:10" ht="15.5" customHeight="1">
      <c r="A70" s="58"/>
      <c r="B70" s="51" t="s">
        <v>57</v>
      </c>
      <c r="C70" s="52"/>
      <c r="D70" s="52"/>
      <c r="E70" s="52"/>
      <c r="F70" s="53">
        <f>SUM(F61:F69)</f>
        <v>21</v>
      </c>
      <c r="G70" s="53">
        <f>SUM(G61:G69)</f>
        <v>15</v>
      </c>
      <c r="H70" s="53">
        <f>SUM(H61:H69)</f>
        <v>3</v>
      </c>
      <c r="I70" s="53">
        <f>SUM(I61:I69)</f>
        <v>3</v>
      </c>
      <c r="J70" s="53">
        <f ca="1">SUM(J61:J73)</f>
        <v>0</v>
      </c>
    </row>
    <row r="71" spans="1:10" ht="16">
      <c r="A71" s="32">
        <v>7</v>
      </c>
      <c r="B71" s="54">
        <v>1</v>
      </c>
      <c r="C71" s="50" t="s">
        <v>158</v>
      </c>
      <c r="D71" s="55" t="s">
        <v>226</v>
      </c>
      <c r="E71" s="55" t="s">
        <v>215</v>
      </c>
      <c r="F71" s="55">
        <v>4</v>
      </c>
      <c r="G71" s="55">
        <v>0</v>
      </c>
      <c r="H71" s="55">
        <v>0</v>
      </c>
      <c r="I71" s="55">
        <v>4</v>
      </c>
      <c r="J71" s="55">
        <v>0</v>
      </c>
    </row>
    <row r="72" spans="1:10" ht="15.5" customHeight="1">
      <c r="A72" s="33"/>
      <c r="B72" s="54">
        <v>2</v>
      </c>
      <c r="C72" s="50" t="s">
        <v>129</v>
      </c>
      <c r="D72" s="50" t="s">
        <v>58</v>
      </c>
      <c r="E72" s="50" t="s">
        <v>216</v>
      </c>
      <c r="F72" s="50">
        <v>2</v>
      </c>
      <c r="G72" s="50">
        <v>2</v>
      </c>
      <c r="H72" s="50">
        <v>0</v>
      </c>
      <c r="I72" s="50">
        <v>0</v>
      </c>
      <c r="J72" s="50">
        <v>0</v>
      </c>
    </row>
    <row r="73" spans="1:10" ht="15.5" customHeight="1">
      <c r="A73" s="33"/>
      <c r="B73" s="54">
        <v>4</v>
      </c>
      <c r="C73" s="50" t="s">
        <v>130</v>
      </c>
      <c r="D73" s="50" t="s">
        <v>59</v>
      </c>
      <c r="E73" s="50" t="s">
        <v>217</v>
      </c>
      <c r="F73" s="50">
        <v>2</v>
      </c>
      <c r="G73" s="50">
        <v>2</v>
      </c>
      <c r="H73" s="50">
        <v>0</v>
      </c>
      <c r="I73" s="50">
        <v>0</v>
      </c>
      <c r="J73" s="50">
        <v>0</v>
      </c>
    </row>
    <row r="74" spans="1:10" ht="15.5" customHeight="1">
      <c r="A74" s="33"/>
      <c r="B74" s="54">
        <v>5</v>
      </c>
      <c r="C74" s="50" t="s">
        <v>131</v>
      </c>
      <c r="D74" s="50" t="s">
        <v>60</v>
      </c>
      <c r="E74" s="50" t="s">
        <v>218</v>
      </c>
      <c r="F74" s="50">
        <v>2</v>
      </c>
      <c r="G74" s="50">
        <v>2</v>
      </c>
      <c r="H74" s="50">
        <v>0</v>
      </c>
      <c r="I74" s="50">
        <v>0</v>
      </c>
      <c r="J74" s="50">
        <v>0</v>
      </c>
    </row>
    <row r="75" spans="1:10" ht="15" customHeight="1">
      <c r="A75" s="33"/>
      <c r="B75" s="54">
        <v>6</v>
      </c>
      <c r="C75" s="50" t="s">
        <v>136</v>
      </c>
      <c r="D75" s="50" t="s">
        <v>228</v>
      </c>
      <c r="E75" s="50" t="s">
        <v>227</v>
      </c>
      <c r="F75" s="50">
        <v>2</v>
      </c>
      <c r="G75" s="50">
        <v>2</v>
      </c>
      <c r="H75" s="50">
        <v>0</v>
      </c>
      <c r="I75" s="50">
        <v>0</v>
      </c>
      <c r="J75" s="50">
        <v>0</v>
      </c>
    </row>
    <row r="76" spans="1:10" ht="15.5" customHeight="1">
      <c r="A76" s="34"/>
      <c r="B76" s="6" t="s">
        <v>61</v>
      </c>
      <c r="C76" s="7"/>
      <c r="D76" s="7"/>
      <c r="E76" s="7"/>
      <c r="F76" s="5">
        <f>SUM(F71:F75)</f>
        <v>12</v>
      </c>
      <c r="G76" s="5">
        <f>SUM(G71:G75)</f>
        <v>8</v>
      </c>
      <c r="H76" s="5">
        <f>SUM(H71:H75)</f>
        <v>0</v>
      </c>
      <c r="I76" s="5">
        <f>SUM(I71:I75)</f>
        <v>4</v>
      </c>
      <c r="J76" s="5">
        <f>SUM(J71:J75)</f>
        <v>0</v>
      </c>
    </row>
    <row r="77" spans="1:10" ht="16">
      <c r="A77" s="22">
        <v>8</v>
      </c>
      <c r="B77" s="21">
        <v>1</v>
      </c>
      <c r="C77" s="4" t="s">
        <v>229</v>
      </c>
      <c r="D77" s="4" t="s">
        <v>62</v>
      </c>
      <c r="E77" s="4" t="s">
        <v>219</v>
      </c>
      <c r="F77" s="4">
        <v>6</v>
      </c>
      <c r="G77" s="4">
        <v>0</v>
      </c>
      <c r="H77" s="4">
        <v>0</v>
      </c>
      <c r="I77" s="4">
        <v>6</v>
      </c>
      <c r="J77" s="4">
        <v>0</v>
      </c>
    </row>
    <row r="78" spans="1:10" ht="16">
      <c r="A78" s="22"/>
      <c r="B78" s="6" t="s">
        <v>63</v>
      </c>
      <c r="C78" s="7"/>
      <c r="D78" s="7"/>
      <c r="E78" s="7"/>
      <c r="F78" s="5">
        <f>SUM(F77)</f>
        <v>6</v>
      </c>
      <c r="G78" s="5">
        <f>SUM(G77)</f>
        <v>0</v>
      </c>
      <c r="H78" s="5">
        <f>SUM(H77)</f>
        <v>0</v>
      </c>
      <c r="I78" s="5">
        <f>SUM(I77)</f>
        <v>6</v>
      </c>
      <c r="J78" s="5">
        <f>SUM(J77)</f>
        <v>0</v>
      </c>
    </row>
    <row r="79" spans="1:10" ht="16">
      <c r="A79" s="8"/>
      <c r="B79" s="6" t="s">
        <v>64</v>
      </c>
      <c r="C79" s="7"/>
      <c r="D79" s="7"/>
      <c r="E79" s="7"/>
      <c r="F79" s="5">
        <f>SUM(F15,F27,F38,F48,F60,F70,F76,F78)</f>
        <v>147</v>
      </c>
      <c r="G79" s="5">
        <f>SUM(G15,G27,G38,G48,G60,G70,G76,G78)</f>
        <v>124</v>
      </c>
      <c r="H79" s="5">
        <f>SUM(H15,H27,H38,H48,H60,H70,H76,H78)</f>
        <v>9</v>
      </c>
      <c r="I79" s="5">
        <f>SUM(I15,I27,I38,I48,I60,I70,I76,I78)</f>
        <v>14</v>
      </c>
      <c r="J79" s="5">
        <f ca="1">SUM(J15,J27,J38,J48,J60,J70,J76,J78)</f>
        <v>0</v>
      </c>
    </row>
    <row r="81" spans="4:17" ht="21" customHeight="1">
      <c r="D81" s="2" t="s">
        <v>231</v>
      </c>
      <c r="E81" s="2" t="s">
        <v>231</v>
      </c>
      <c r="K81" s="1"/>
      <c r="L81" s="1"/>
      <c r="M81" s="1"/>
      <c r="N81" s="1"/>
      <c r="O81" s="1"/>
      <c r="P81" s="1"/>
      <c r="Q81" s="1"/>
    </row>
    <row r="82" spans="4:17" ht="21" customHeight="1">
      <c r="D82" s="2" t="s">
        <v>137</v>
      </c>
      <c r="E82" s="2" t="s">
        <v>137</v>
      </c>
      <c r="K82" s="1"/>
      <c r="L82" s="1"/>
      <c r="M82" s="1"/>
      <c r="N82" s="1"/>
      <c r="O82" s="1"/>
      <c r="P82" s="1"/>
      <c r="Q82" s="1"/>
    </row>
    <row r="83" spans="4:17" ht="15.75" customHeight="1">
      <c r="D83" s="2" t="s">
        <v>232</v>
      </c>
      <c r="E83" s="2" t="s">
        <v>232</v>
      </c>
      <c r="K83" s="1"/>
      <c r="L83" s="1"/>
      <c r="M83" s="1"/>
      <c r="N83" s="1"/>
      <c r="O83" s="1"/>
      <c r="P83" s="1"/>
      <c r="Q83" s="1"/>
    </row>
  </sheetData>
  <mergeCells count="17">
    <mergeCell ref="B1:J1"/>
    <mergeCell ref="B2:J2"/>
    <mergeCell ref="A4:A5"/>
    <mergeCell ref="B4:B5"/>
    <mergeCell ref="E4:E5"/>
    <mergeCell ref="F4:J4"/>
    <mergeCell ref="D4:D5"/>
    <mergeCell ref="A77:A78"/>
    <mergeCell ref="A6:A15"/>
    <mergeCell ref="B15:E15"/>
    <mergeCell ref="B38:E38"/>
    <mergeCell ref="A39:A48"/>
    <mergeCell ref="A49:A60"/>
    <mergeCell ref="A71:A76"/>
    <mergeCell ref="A28:A38"/>
    <mergeCell ref="A16:A27"/>
    <mergeCell ref="A61:A70"/>
  </mergeCells>
  <phoneticPr fontId="9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2A53-8A38-4450-A26C-B0469C0B7A4A}">
  <dimension ref="A1:I83"/>
  <sheetViews>
    <sheetView topLeftCell="A59" workbookViewId="0">
      <selection activeCell="A78" sqref="A78:H78"/>
    </sheetView>
  </sheetViews>
  <sheetFormatPr baseColWidth="10" defaultColWidth="8.83203125" defaultRowHeight="15"/>
  <cols>
    <col min="2" max="2" width="13.83203125" customWidth="1"/>
    <col min="3" max="3" width="55.33203125" customWidth="1"/>
    <col min="5" max="5" width="14.1640625" customWidth="1"/>
    <col min="6" max="6" width="12.1640625" customWidth="1"/>
    <col min="7" max="7" width="18.33203125" customWidth="1"/>
    <col min="8" max="8" width="13.1640625" customWidth="1"/>
    <col min="258" max="258" width="13.83203125" customWidth="1"/>
    <col min="259" max="259" width="55.33203125" customWidth="1"/>
    <col min="261" max="261" width="14.1640625" customWidth="1"/>
    <col min="262" max="262" width="12.1640625" customWidth="1"/>
    <col min="263" max="263" width="18.33203125" customWidth="1"/>
    <col min="264" max="264" width="13.1640625" customWidth="1"/>
    <col min="514" max="514" width="13.83203125" customWidth="1"/>
    <col min="515" max="515" width="55.33203125" customWidth="1"/>
    <col min="517" max="517" width="14.1640625" customWidth="1"/>
    <col min="518" max="518" width="12.1640625" customWidth="1"/>
    <col min="519" max="519" width="18.33203125" customWidth="1"/>
    <col min="520" max="520" width="13.1640625" customWidth="1"/>
    <col min="770" max="770" width="13.83203125" customWidth="1"/>
    <col min="771" max="771" width="55.33203125" customWidth="1"/>
    <col min="773" max="773" width="14.1640625" customWidth="1"/>
    <col min="774" max="774" width="12.1640625" customWidth="1"/>
    <col min="775" max="775" width="18.33203125" customWidth="1"/>
    <col min="776" max="776" width="13.1640625" customWidth="1"/>
    <col min="1026" max="1026" width="13.83203125" customWidth="1"/>
    <col min="1027" max="1027" width="55.33203125" customWidth="1"/>
    <col min="1029" max="1029" width="14.1640625" customWidth="1"/>
    <col min="1030" max="1030" width="12.1640625" customWidth="1"/>
    <col min="1031" max="1031" width="18.33203125" customWidth="1"/>
    <col min="1032" max="1032" width="13.1640625" customWidth="1"/>
    <col min="1282" max="1282" width="13.83203125" customWidth="1"/>
    <col min="1283" max="1283" width="55.33203125" customWidth="1"/>
    <col min="1285" max="1285" width="14.1640625" customWidth="1"/>
    <col min="1286" max="1286" width="12.1640625" customWidth="1"/>
    <col min="1287" max="1287" width="18.33203125" customWidth="1"/>
    <col min="1288" max="1288" width="13.1640625" customWidth="1"/>
    <col min="1538" max="1538" width="13.83203125" customWidth="1"/>
    <col min="1539" max="1539" width="55.33203125" customWidth="1"/>
    <col min="1541" max="1541" width="14.1640625" customWidth="1"/>
    <col min="1542" max="1542" width="12.1640625" customWidth="1"/>
    <col min="1543" max="1543" width="18.33203125" customWidth="1"/>
    <col min="1544" max="1544" width="13.1640625" customWidth="1"/>
    <col min="1794" max="1794" width="13.83203125" customWidth="1"/>
    <col min="1795" max="1795" width="55.33203125" customWidth="1"/>
    <col min="1797" max="1797" width="14.1640625" customWidth="1"/>
    <col min="1798" max="1798" width="12.1640625" customWidth="1"/>
    <col min="1799" max="1799" width="18.33203125" customWidth="1"/>
    <col min="1800" max="1800" width="13.1640625" customWidth="1"/>
    <col min="2050" max="2050" width="13.83203125" customWidth="1"/>
    <col min="2051" max="2051" width="55.33203125" customWidth="1"/>
    <col min="2053" max="2053" width="14.1640625" customWidth="1"/>
    <col min="2054" max="2054" width="12.1640625" customWidth="1"/>
    <col min="2055" max="2055" width="18.33203125" customWidth="1"/>
    <col min="2056" max="2056" width="13.1640625" customWidth="1"/>
    <col min="2306" max="2306" width="13.83203125" customWidth="1"/>
    <col min="2307" max="2307" width="55.33203125" customWidth="1"/>
    <col min="2309" max="2309" width="14.1640625" customWidth="1"/>
    <col min="2310" max="2310" width="12.1640625" customWidth="1"/>
    <col min="2311" max="2311" width="18.33203125" customWidth="1"/>
    <col min="2312" max="2312" width="13.1640625" customWidth="1"/>
    <col min="2562" max="2562" width="13.83203125" customWidth="1"/>
    <col min="2563" max="2563" width="55.33203125" customWidth="1"/>
    <col min="2565" max="2565" width="14.1640625" customWidth="1"/>
    <col min="2566" max="2566" width="12.1640625" customWidth="1"/>
    <col min="2567" max="2567" width="18.33203125" customWidth="1"/>
    <col min="2568" max="2568" width="13.1640625" customWidth="1"/>
    <col min="2818" max="2818" width="13.83203125" customWidth="1"/>
    <col min="2819" max="2819" width="55.33203125" customWidth="1"/>
    <col min="2821" max="2821" width="14.1640625" customWidth="1"/>
    <col min="2822" max="2822" width="12.1640625" customWidth="1"/>
    <col min="2823" max="2823" width="18.33203125" customWidth="1"/>
    <col min="2824" max="2824" width="13.1640625" customWidth="1"/>
    <col min="3074" max="3074" width="13.83203125" customWidth="1"/>
    <col min="3075" max="3075" width="55.33203125" customWidth="1"/>
    <col min="3077" max="3077" width="14.1640625" customWidth="1"/>
    <col min="3078" max="3078" width="12.1640625" customWidth="1"/>
    <col min="3079" max="3079" width="18.33203125" customWidth="1"/>
    <col min="3080" max="3080" width="13.1640625" customWidth="1"/>
    <col min="3330" max="3330" width="13.83203125" customWidth="1"/>
    <col min="3331" max="3331" width="55.33203125" customWidth="1"/>
    <col min="3333" max="3333" width="14.1640625" customWidth="1"/>
    <col min="3334" max="3334" width="12.1640625" customWidth="1"/>
    <col min="3335" max="3335" width="18.33203125" customWidth="1"/>
    <col min="3336" max="3336" width="13.1640625" customWidth="1"/>
    <col min="3586" max="3586" width="13.83203125" customWidth="1"/>
    <col min="3587" max="3587" width="55.33203125" customWidth="1"/>
    <col min="3589" max="3589" width="14.1640625" customWidth="1"/>
    <col min="3590" max="3590" width="12.1640625" customWidth="1"/>
    <col min="3591" max="3591" width="18.33203125" customWidth="1"/>
    <col min="3592" max="3592" width="13.1640625" customWidth="1"/>
    <col min="3842" max="3842" width="13.83203125" customWidth="1"/>
    <col min="3843" max="3843" width="55.33203125" customWidth="1"/>
    <col min="3845" max="3845" width="14.1640625" customWidth="1"/>
    <col min="3846" max="3846" width="12.1640625" customWidth="1"/>
    <col min="3847" max="3847" width="18.33203125" customWidth="1"/>
    <col min="3848" max="3848" width="13.1640625" customWidth="1"/>
    <col min="4098" max="4098" width="13.83203125" customWidth="1"/>
    <col min="4099" max="4099" width="55.33203125" customWidth="1"/>
    <col min="4101" max="4101" width="14.1640625" customWidth="1"/>
    <col min="4102" max="4102" width="12.1640625" customWidth="1"/>
    <col min="4103" max="4103" width="18.33203125" customWidth="1"/>
    <col min="4104" max="4104" width="13.1640625" customWidth="1"/>
    <col min="4354" max="4354" width="13.83203125" customWidth="1"/>
    <col min="4355" max="4355" width="55.33203125" customWidth="1"/>
    <col min="4357" max="4357" width="14.1640625" customWidth="1"/>
    <col min="4358" max="4358" width="12.1640625" customWidth="1"/>
    <col min="4359" max="4359" width="18.33203125" customWidth="1"/>
    <col min="4360" max="4360" width="13.1640625" customWidth="1"/>
    <col min="4610" max="4610" width="13.83203125" customWidth="1"/>
    <col min="4611" max="4611" width="55.33203125" customWidth="1"/>
    <col min="4613" max="4613" width="14.1640625" customWidth="1"/>
    <col min="4614" max="4614" width="12.1640625" customWidth="1"/>
    <col min="4615" max="4615" width="18.33203125" customWidth="1"/>
    <col min="4616" max="4616" width="13.1640625" customWidth="1"/>
    <col min="4866" max="4866" width="13.83203125" customWidth="1"/>
    <col min="4867" max="4867" width="55.33203125" customWidth="1"/>
    <col min="4869" max="4869" width="14.1640625" customWidth="1"/>
    <col min="4870" max="4870" width="12.1640625" customWidth="1"/>
    <col min="4871" max="4871" width="18.33203125" customWidth="1"/>
    <col min="4872" max="4872" width="13.1640625" customWidth="1"/>
    <col min="5122" max="5122" width="13.83203125" customWidth="1"/>
    <col min="5123" max="5123" width="55.33203125" customWidth="1"/>
    <col min="5125" max="5125" width="14.1640625" customWidth="1"/>
    <col min="5126" max="5126" width="12.1640625" customWidth="1"/>
    <col min="5127" max="5127" width="18.33203125" customWidth="1"/>
    <col min="5128" max="5128" width="13.1640625" customWidth="1"/>
    <col min="5378" max="5378" width="13.83203125" customWidth="1"/>
    <col min="5379" max="5379" width="55.33203125" customWidth="1"/>
    <col min="5381" max="5381" width="14.1640625" customWidth="1"/>
    <col min="5382" max="5382" width="12.1640625" customWidth="1"/>
    <col min="5383" max="5383" width="18.33203125" customWidth="1"/>
    <col min="5384" max="5384" width="13.1640625" customWidth="1"/>
    <col min="5634" max="5634" width="13.83203125" customWidth="1"/>
    <col min="5635" max="5635" width="55.33203125" customWidth="1"/>
    <col min="5637" max="5637" width="14.1640625" customWidth="1"/>
    <col min="5638" max="5638" width="12.1640625" customWidth="1"/>
    <col min="5639" max="5639" width="18.33203125" customWidth="1"/>
    <col min="5640" max="5640" width="13.1640625" customWidth="1"/>
    <col min="5890" max="5890" width="13.83203125" customWidth="1"/>
    <col min="5891" max="5891" width="55.33203125" customWidth="1"/>
    <col min="5893" max="5893" width="14.1640625" customWidth="1"/>
    <col min="5894" max="5894" width="12.1640625" customWidth="1"/>
    <col min="5895" max="5895" width="18.33203125" customWidth="1"/>
    <col min="5896" max="5896" width="13.1640625" customWidth="1"/>
    <col min="6146" max="6146" width="13.83203125" customWidth="1"/>
    <col min="6147" max="6147" width="55.33203125" customWidth="1"/>
    <col min="6149" max="6149" width="14.1640625" customWidth="1"/>
    <col min="6150" max="6150" width="12.1640625" customWidth="1"/>
    <col min="6151" max="6151" width="18.33203125" customWidth="1"/>
    <col min="6152" max="6152" width="13.1640625" customWidth="1"/>
    <col min="6402" max="6402" width="13.83203125" customWidth="1"/>
    <col min="6403" max="6403" width="55.33203125" customWidth="1"/>
    <col min="6405" max="6405" width="14.1640625" customWidth="1"/>
    <col min="6406" max="6406" width="12.1640625" customWidth="1"/>
    <col min="6407" max="6407" width="18.33203125" customWidth="1"/>
    <col min="6408" max="6408" width="13.1640625" customWidth="1"/>
    <col min="6658" max="6658" width="13.83203125" customWidth="1"/>
    <col min="6659" max="6659" width="55.33203125" customWidth="1"/>
    <col min="6661" max="6661" width="14.1640625" customWidth="1"/>
    <col min="6662" max="6662" width="12.1640625" customWidth="1"/>
    <col min="6663" max="6663" width="18.33203125" customWidth="1"/>
    <col min="6664" max="6664" width="13.1640625" customWidth="1"/>
    <col min="6914" max="6914" width="13.83203125" customWidth="1"/>
    <col min="6915" max="6915" width="55.33203125" customWidth="1"/>
    <col min="6917" max="6917" width="14.1640625" customWidth="1"/>
    <col min="6918" max="6918" width="12.1640625" customWidth="1"/>
    <col min="6919" max="6919" width="18.33203125" customWidth="1"/>
    <col min="6920" max="6920" width="13.1640625" customWidth="1"/>
    <col min="7170" max="7170" width="13.83203125" customWidth="1"/>
    <col min="7171" max="7171" width="55.33203125" customWidth="1"/>
    <col min="7173" max="7173" width="14.1640625" customWidth="1"/>
    <col min="7174" max="7174" width="12.1640625" customWidth="1"/>
    <col min="7175" max="7175" width="18.33203125" customWidth="1"/>
    <col min="7176" max="7176" width="13.1640625" customWidth="1"/>
    <col min="7426" max="7426" width="13.83203125" customWidth="1"/>
    <col min="7427" max="7427" width="55.33203125" customWidth="1"/>
    <col min="7429" max="7429" width="14.1640625" customWidth="1"/>
    <col min="7430" max="7430" width="12.1640625" customWidth="1"/>
    <col min="7431" max="7431" width="18.33203125" customWidth="1"/>
    <col min="7432" max="7432" width="13.1640625" customWidth="1"/>
    <col min="7682" max="7682" width="13.83203125" customWidth="1"/>
    <col min="7683" max="7683" width="55.33203125" customWidth="1"/>
    <col min="7685" max="7685" width="14.1640625" customWidth="1"/>
    <col min="7686" max="7686" width="12.1640625" customWidth="1"/>
    <col min="7687" max="7687" width="18.33203125" customWidth="1"/>
    <col min="7688" max="7688" width="13.1640625" customWidth="1"/>
    <col min="7938" max="7938" width="13.83203125" customWidth="1"/>
    <col min="7939" max="7939" width="55.33203125" customWidth="1"/>
    <col min="7941" max="7941" width="14.1640625" customWidth="1"/>
    <col min="7942" max="7942" width="12.1640625" customWidth="1"/>
    <col min="7943" max="7943" width="18.33203125" customWidth="1"/>
    <col min="7944" max="7944" width="13.1640625" customWidth="1"/>
    <col min="8194" max="8194" width="13.83203125" customWidth="1"/>
    <col min="8195" max="8195" width="55.33203125" customWidth="1"/>
    <col min="8197" max="8197" width="14.1640625" customWidth="1"/>
    <col min="8198" max="8198" width="12.1640625" customWidth="1"/>
    <col min="8199" max="8199" width="18.33203125" customWidth="1"/>
    <col min="8200" max="8200" width="13.1640625" customWidth="1"/>
    <col min="8450" max="8450" width="13.83203125" customWidth="1"/>
    <col min="8451" max="8451" width="55.33203125" customWidth="1"/>
    <col min="8453" max="8453" width="14.1640625" customWidth="1"/>
    <col min="8454" max="8454" width="12.1640625" customWidth="1"/>
    <col min="8455" max="8455" width="18.33203125" customWidth="1"/>
    <col min="8456" max="8456" width="13.1640625" customWidth="1"/>
    <col min="8706" max="8706" width="13.83203125" customWidth="1"/>
    <col min="8707" max="8707" width="55.33203125" customWidth="1"/>
    <col min="8709" max="8709" width="14.1640625" customWidth="1"/>
    <col min="8710" max="8710" width="12.1640625" customWidth="1"/>
    <col min="8711" max="8711" width="18.33203125" customWidth="1"/>
    <col min="8712" max="8712" width="13.1640625" customWidth="1"/>
    <col min="8962" max="8962" width="13.83203125" customWidth="1"/>
    <col min="8963" max="8963" width="55.33203125" customWidth="1"/>
    <col min="8965" max="8965" width="14.1640625" customWidth="1"/>
    <col min="8966" max="8966" width="12.1640625" customWidth="1"/>
    <col min="8967" max="8967" width="18.33203125" customWidth="1"/>
    <col min="8968" max="8968" width="13.1640625" customWidth="1"/>
    <col min="9218" max="9218" width="13.83203125" customWidth="1"/>
    <col min="9219" max="9219" width="55.33203125" customWidth="1"/>
    <col min="9221" max="9221" width="14.1640625" customWidth="1"/>
    <col min="9222" max="9222" width="12.1640625" customWidth="1"/>
    <col min="9223" max="9223" width="18.33203125" customWidth="1"/>
    <col min="9224" max="9224" width="13.1640625" customWidth="1"/>
    <col min="9474" max="9474" width="13.83203125" customWidth="1"/>
    <col min="9475" max="9475" width="55.33203125" customWidth="1"/>
    <col min="9477" max="9477" width="14.1640625" customWidth="1"/>
    <col min="9478" max="9478" width="12.1640625" customWidth="1"/>
    <col min="9479" max="9479" width="18.33203125" customWidth="1"/>
    <col min="9480" max="9480" width="13.1640625" customWidth="1"/>
    <col min="9730" max="9730" width="13.83203125" customWidth="1"/>
    <col min="9731" max="9731" width="55.33203125" customWidth="1"/>
    <col min="9733" max="9733" width="14.1640625" customWidth="1"/>
    <col min="9734" max="9734" width="12.1640625" customWidth="1"/>
    <col min="9735" max="9735" width="18.33203125" customWidth="1"/>
    <col min="9736" max="9736" width="13.1640625" customWidth="1"/>
    <col min="9986" max="9986" width="13.83203125" customWidth="1"/>
    <col min="9987" max="9987" width="55.33203125" customWidth="1"/>
    <col min="9989" max="9989" width="14.1640625" customWidth="1"/>
    <col min="9990" max="9990" width="12.1640625" customWidth="1"/>
    <col min="9991" max="9991" width="18.33203125" customWidth="1"/>
    <col min="9992" max="9992" width="13.1640625" customWidth="1"/>
    <col min="10242" max="10242" width="13.83203125" customWidth="1"/>
    <col min="10243" max="10243" width="55.33203125" customWidth="1"/>
    <col min="10245" max="10245" width="14.1640625" customWidth="1"/>
    <col min="10246" max="10246" width="12.1640625" customWidth="1"/>
    <col min="10247" max="10247" width="18.33203125" customWidth="1"/>
    <col min="10248" max="10248" width="13.1640625" customWidth="1"/>
    <col min="10498" max="10498" width="13.83203125" customWidth="1"/>
    <col min="10499" max="10499" width="55.33203125" customWidth="1"/>
    <col min="10501" max="10501" width="14.1640625" customWidth="1"/>
    <col min="10502" max="10502" width="12.1640625" customWidth="1"/>
    <col min="10503" max="10503" width="18.33203125" customWidth="1"/>
    <col min="10504" max="10504" width="13.1640625" customWidth="1"/>
    <col min="10754" max="10754" width="13.83203125" customWidth="1"/>
    <col min="10755" max="10755" width="55.33203125" customWidth="1"/>
    <col min="10757" max="10757" width="14.1640625" customWidth="1"/>
    <col min="10758" max="10758" width="12.1640625" customWidth="1"/>
    <col min="10759" max="10759" width="18.33203125" customWidth="1"/>
    <col min="10760" max="10760" width="13.1640625" customWidth="1"/>
    <col min="11010" max="11010" width="13.83203125" customWidth="1"/>
    <col min="11011" max="11011" width="55.33203125" customWidth="1"/>
    <col min="11013" max="11013" width="14.1640625" customWidth="1"/>
    <col min="11014" max="11014" width="12.1640625" customWidth="1"/>
    <col min="11015" max="11015" width="18.33203125" customWidth="1"/>
    <col min="11016" max="11016" width="13.1640625" customWidth="1"/>
    <col min="11266" max="11266" width="13.83203125" customWidth="1"/>
    <col min="11267" max="11267" width="55.33203125" customWidth="1"/>
    <col min="11269" max="11269" width="14.1640625" customWidth="1"/>
    <col min="11270" max="11270" width="12.1640625" customWidth="1"/>
    <col min="11271" max="11271" width="18.33203125" customWidth="1"/>
    <col min="11272" max="11272" width="13.1640625" customWidth="1"/>
    <col min="11522" max="11522" width="13.83203125" customWidth="1"/>
    <col min="11523" max="11523" width="55.33203125" customWidth="1"/>
    <col min="11525" max="11525" width="14.1640625" customWidth="1"/>
    <col min="11526" max="11526" width="12.1640625" customWidth="1"/>
    <col min="11527" max="11527" width="18.33203125" customWidth="1"/>
    <col min="11528" max="11528" width="13.1640625" customWidth="1"/>
    <col min="11778" max="11778" width="13.83203125" customWidth="1"/>
    <col min="11779" max="11779" width="55.33203125" customWidth="1"/>
    <col min="11781" max="11781" width="14.1640625" customWidth="1"/>
    <col min="11782" max="11782" width="12.1640625" customWidth="1"/>
    <col min="11783" max="11783" width="18.33203125" customWidth="1"/>
    <col min="11784" max="11784" width="13.1640625" customWidth="1"/>
    <col min="12034" max="12034" width="13.83203125" customWidth="1"/>
    <col min="12035" max="12035" width="55.33203125" customWidth="1"/>
    <col min="12037" max="12037" width="14.1640625" customWidth="1"/>
    <col min="12038" max="12038" width="12.1640625" customWidth="1"/>
    <col min="12039" max="12039" width="18.33203125" customWidth="1"/>
    <col min="12040" max="12040" width="13.1640625" customWidth="1"/>
    <col min="12290" max="12290" width="13.83203125" customWidth="1"/>
    <col min="12291" max="12291" width="55.33203125" customWidth="1"/>
    <col min="12293" max="12293" width="14.1640625" customWidth="1"/>
    <col min="12294" max="12294" width="12.1640625" customWidth="1"/>
    <col min="12295" max="12295" width="18.33203125" customWidth="1"/>
    <col min="12296" max="12296" width="13.1640625" customWidth="1"/>
    <col min="12546" max="12546" width="13.83203125" customWidth="1"/>
    <col min="12547" max="12547" width="55.33203125" customWidth="1"/>
    <col min="12549" max="12549" width="14.1640625" customWidth="1"/>
    <col min="12550" max="12550" width="12.1640625" customWidth="1"/>
    <col min="12551" max="12551" width="18.33203125" customWidth="1"/>
    <col min="12552" max="12552" width="13.1640625" customWidth="1"/>
    <col min="12802" max="12802" width="13.83203125" customWidth="1"/>
    <col min="12803" max="12803" width="55.33203125" customWidth="1"/>
    <col min="12805" max="12805" width="14.1640625" customWidth="1"/>
    <col min="12806" max="12806" width="12.1640625" customWidth="1"/>
    <col min="12807" max="12807" width="18.33203125" customWidth="1"/>
    <col min="12808" max="12808" width="13.1640625" customWidth="1"/>
    <col min="13058" max="13058" width="13.83203125" customWidth="1"/>
    <col min="13059" max="13059" width="55.33203125" customWidth="1"/>
    <col min="13061" max="13061" width="14.1640625" customWidth="1"/>
    <col min="13062" max="13062" width="12.1640625" customWidth="1"/>
    <col min="13063" max="13063" width="18.33203125" customWidth="1"/>
    <col min="13064" max="13064" width="13.1640625" customWidth="1"/>
    <col min="13314" max="13314" width="13.83203125" customWidth="1"/>
    <col min="13315" max="13315" width="55.33203125" customWidth="1"/>
    <col min="13317" max="13317" width="14.1640625" customWidth="1"/>
    <col min="13318" max="13318" width="12.1640625" customWidth="1"/>
    <col min="13319" max="13319" width="18.33203125" customWidth="1"/>
    <col min="13320" max="13320" width="13.1640625" customWidth="1"/>
    <col min="13570" max="13570" width="13.83203125" customWidth="1"/>
    <col min="13571" max="13571" width="55.33203125" customWidth="1"/>
    <col min="13573" max="13573" width="14.1640625" customWidth="1"/>
    <col min="13574" max="13574" width="12.1640625" customWidth="1"/>
    <col min="13575" max="13575" width="18.33203125" customWidth="1"/>
    <col min="13576" max="13576" width="13.1640625" customWidth="1"/>
    <col min="13826" max="13826" width="13.83203125" customWidth="1"/>
    <col min="13827" max="13827" width="55.33203125" customWidth="1"/>
    <col min="13829" max="13829" width="14.1640625" customWidth="1"/>
    <col min="13830" max="13830" width="12.1640625" customWidth="1"/>
    <col min="13831" max="13831" width="18.33203125" customWidth="1"/>
    <col min="13832" max="13832" width="13.1640625" customWidth="1"/>
    <col min="14082" max="14082" width="13.83203125" customWidth="1"/>
    <col min="14083" max="14083" width="55.33203125" customWidth="1"/>
    <col min="14085" max="14085" width="14.1640625" customWidth="1"/>
    <col min="14086" max="14086" width="12.1640625" customWidth="1"/>
    <col min="14087" max="14087" width="18.33203125" customWidth="1"/>
    <col min="14088" max="14088" width="13.1640625" customWidth="1"/>
    <col min="14338" max="14338" width="13.83203125" customWidth="1"/>
    <col min="14339" max="14339" width="55.33203125" customWidth="1"/>
    <col min="14341" max="14341" width="14.1640625" customWidth="1"/>
    <col min="14342" max="14342" width="12.1640625" customWidth="1"/>
    <col min="14343" max="14343" width="18.33203125" customWidth="1"/>
    <col min="14344" max="14344" width="13.1640625" customWidth="1"/>
    <col min="14594" max="14594" width="13.83203125" customWidth="1"/>
    <col min="14595" max="14595" width="55.33203125" customWidth="1"/>
    <col min="14597" max="14597" width="14.1640625" customWidth="1"/>
    <col min="14598" max="14598" width="12.1640625" customWidth="1"/>
    <col min="14599" max="14599" width="18.33203125" customWidth="1"/>
    <col min="14600" max="14600" width="13.1640625" customWidth="1"/>
    <col min="14850" max="14850" width="13.83203125" customWidth="1"/>
    <col min="14851" max="14851" width="55.33203125" customWidth="1"/>
    <col min="14853" max="14853" width="14.1640625" customWidth="1"/>
    <col min="14854" max="14854" width="12.1640625" customWidth="1"/>
    <col min="14855" max="14855" width="18.33203125" customWidth="1"/>
    <col min="14856" max="14856" width="13.1640625" customWidth="1"/>
    <col min="15106" max="15106" width="13.83203125" customWidth="1"/>
    <col min="15107" max="15107" width="55.33203125" customWidth="1"/>
    <col min="15109" max="15109" width="14.1640625" customWidth="1"/>
    <col min="15110" max="15110" width="12.1640625" customWidth="1"/>
    <col min="15111" max="15111" width="18.33203125" customWidth="1"/>
    <col min="15112" max="15112" width="13.1640625" customWidth="1"/>
    <col min="15362" max="15362" width="13.83203125" customWidth="1"/>
    <col min="15363" max="15363" width="55.33203125" customWidth="1"/>
    <col min="15365" max="15365" width="14.1640625" customWidth="1"/>
    <col min="15366" max="15366" width="12.1640625" customWidth="1"/>
    <col min="15367" max="15367" width="18.33203125" customWidth="1"/>
    <col min="15368" max="15368" width="13.1640625" customWidth="1"/>
    <col min="15618" max="15618" width="13.83203125" customWidth="1"/>
    <col min="15619" max="15619" width="55.33203125" customWidth="1"/>
    <col min="15621" max="15621" width="14.1640625" customWidth="1"/>
    <col min="15622" max="15622" width="12.1640625" customWidth="1"/>
    <col min="15623" max="15623" width="18.33203125" customWidth="1"/>
    <col min="15624" max="15624" width="13.1640625" customWidth="1"/>
    <col min="15874" max="15874" width="13.83203125" customWidth="1"/>
    <col min="15875" max="15875" width="55.33203125" customWidth="1"/>
    <col min="15877" max="15877" width="14.1640625" customWidth="1"/>
    <col min="15878" max="15878" width="12.1640625" customWidth="1"/>
    <col min="15879" max="15879" width="18.33203125" customWidth="1"/>
    <col min="15880" max="15880" width="13.1640625" customWidth="1"/>
    <col min="16130" max="16130" width="13.83203125" customWidth="1"/>
    <col min="16131" max="16131" width="55.33203125" customWidth="1"/>
    <col min="16133" max="16133" width="14.1640625" customWidth="1"/>
    <col min="16134" max="16134" width="12.1640625" customWidth="1"/>
    <col min="16135" max="16135" width="18.33203125" customWidth="1"/>
    <col min="16136" max="16136" width="13.1640625" customWidth="1"/>
  </cols>
  <sheetData>
    <row r="1" spans="1:8" ht="20">
      <c r="A1" s="43" t="s">
        <v>65</v>
      </c>
      <c r="B1" s="43"/>
      <c r="C1" s="43"/>
      <c r="D1" s="43"/>
      <c r="E1" s="43"/>
      <c r="F1" s="43"/>
      <c r="G1" s="43"/>
      <c r="H1" s="43"/>
    </row>
    <row r="3" spans="1:8" ht="16">
      <c r="A3" s="29" t="s">
        <v>66</v>
      </c>
      <c r="B3" s="9" t="s">
        <v>4</v>
      </c>
      <c r="C3" s="29" t="s">
        <v>67</v>
      </c>
      <c r="D3" s="22" t="s">
        <v>68</v>
      </c>
      <c r="E3" s="22"/>
      <c r="F3" s="22"/>
      <c r="G3" s="22"/>
      <c r="H3" s="22"/>
    </row>
    <row r="4" spans="1:8" ht="16">
      <c r="A4" s="31"/>
      <c r="B4" s="9" t="s">
        <v>8</v>
      </c>
      <c r="C4" s="31"/>
      <c r="D4" s="10" t="s">
        <v>69</v>
      </c>
      <c r="E4" s="10" t="s">
        <v>9</v>
      </c>
      <c r="F4" s="10" t="s">
        <v>10</v>
      </c>
      <c r="G4" s="10" t="s">
        <v>70</v>
      </c>
      <c r="H4" s="10" t="s">
        <v>12</v>
      </c>
    </row>
    <row r="5" spans="1:8" ht="16">
      <c r="A5" s="40" t="s">
        <v>78</v>
      </c>
      <c r="B5" s="41"/>
      <c r="C5" s="41"/>
      <c r="D5" s="41"/>
      <c r="E5" s="41"/>
      <c r="F5" s="41"/>
      <c r="G5" s="41"/>
      <c r="H5" s="42"/>
    </row>
    <row r="6" spans="1:8" ht="16">
      <c r="A6" s="11">
        <v>1</v>
      </c>
      <c r="B6" s="4" t="s">
        <v>141</v>
      </c>
      <c r="C6" s="4" t="s">
        <v>76</v>
      </c>
      <c r="D6" s="4">
        <v>2</v>
      </c>
      <c r="E6" s="4">
        <v>2</v>
      </c>
      <c r="F6" s="4">
        <v>0</v>
      </c>
      <c r="G6" s="4">
        <v>0</v>
      </c>
      <c r="H6" s="4">
        <v>0</v>
      </c>
    </row>
    <row r="7" spans="1:8" ht="16">
      <c r="A7" s="11">
        <v>2</v>
      </c>
      <c r="B7" s="4" t="s">
        <v>140</v>
      </c>
      <c r="C7" s="14" t="s">
        <v>13</v>
      </c>
      <c r="D7" s="4">
        <v>2</v>
      </c>
      <c r="E7" s="4">
        <v>2</v>
      </c>
      <c r="F7" s="4">
        <v>0</v>
      </c>
      <c r="G7" s="4">
        <v>0</v>
      </c>
      <c r="H7" s="4">
        <v>0</v>
      </c>
    </row>
    <row r="8" spans="1:8" ht="16">
      <c r="A8" s="11">
        <v>3</v>
      </c>
      <c r="B8" s="4" t="s">
        <v>144</v>
      </c>
      <c r="C8" s="4" t="s">
        <v>77</v>
      </c>
      <c r="D8" s="4">
        <v>2</v>
      </c>
      <c r="E8" s="4">
        <v>2</v>
      </c>
      <c r="F8" s="4">
        <v>0</v>
      </c>
      <c r="G8" s="4">
        <v>0</v>
      </c>
      <c r="H8" s="4">
        <v>0</v>
      </c>
    </row>
    <row r="9" spans="1:8" ht="16">
      <c r="A9" s="11">
        <v>4</v>
      </c>
      <c r="B9" s="4" t="s">
        <v>145</v>
      </c>
      <c r="C9" s="4" t="s">
        <v>21</v>
      </c>
      <c r="D9" s="4">
        <v>2</v>
      </c>
      <c r="E9" s="4">
        <v>2</v>
      </c>
      <c r="F9" s="4">
        <v>0</v>
      </c>
      <c r="G9" s="4">
        <v>0</v>
      </c>
      <c r="H9" s="4">
        <v>0</v>
      </c>
    </row>
    <row r="10" spans="1:8" ht="16">
      <c r="A10" s="40" t="s">
        <v>79</v>
      </c>
      <c r="B10" s="41"/>
      <c r="C10" s="41"/>
      <c r="D10" s="41"/>
      <c r="E10" s="41"/>
      <c r="F10" s="41"/>
      <c r="G10" s="41"/>
      <c r="H10" s="42"/>
    </row>
    <row r="11" spans="1:8" ht="16">
      <c r="A11" s="11">
        <v>1</v>
      </c>
      <c r="B11" s="4" t="s">
        <v>142</v>
      </c>
      <c r="C11" s="4" t="s">
        <v>14</v>
      </c>
      <c r="D11" s="4">
        <v>2</v>
      </c>
      <c r="E11" s="4">
        <v>2</v>
      </c>
      <c r="F11" s="4">
        <v>0</v>
      </c>
      <c r="G11" s="4">
        <v>0</v>
      </c>
      <c r="H11" s="4">
        <v>0</v>
      </c>
    </row>
    <row r="12" spans="1:8" ht="16">
      <c r="A12" s="11">
        <v>2</v>
      </c>
      <c r="B12" s="12" t="s">
        <v>146</v>
      </c>
      <c r="C12" s="4" t="s">
        <v>22</v>
      </c>
      <c r="D12" s="4">
        <v>2</v>
      </c>
      <c r="E12" s="4">
        <v>1</v>
      </c>
      <c r="F12" s="4">
        <v>1</v>
      </c>
      <c r="G12" s="4">
        <v>0</v>
      </c>
      <c r="H12" s="4">
        <v>0</v>
      </c>
    </row>
    <row r="13" spans="1:8" ht="16">
      <c r="A13" s="11">
        <v>3</v>
      </c>
      <c r="B13" s="12" t="s">
        <v>149</v>
      </c>
      <c r="C13" s="4" t="s">
        <v>80</v>
      </c>
      <c r="D13" s="4">
        <v>2</v>
      </c>
      <c r="E13" s="4">
        <v>0</v>
      </c>
      <c r="F13" s="4">
        <v>2</v>
      </c>
      <c r="G13" s="4">
        <v>0</v>
      </c>
      <c r="H13" s="4">
        <v>0</v>
      </c>
    </row>
    <row r="14" spans="1:8" ht="16">
      <c r="A14" s="11">
        <v>4</v>
      </c>
      <c r="B14" s="12" t="s">
        <v>156</v>
      </c>
      <c r="C14" s="4" t="s">
        <v>56</v>
      </c>
      <c r="D14" s="4">
        <v>3</v>
      </c>
      <c r="E14" s="4">
        <v>0</v>
      </c>
      <c r="F14" s="4">
        <v>0</v>
      </c>
      <c r="G14" s="4">
        <v>3</v>
      </c>
      <c r="H14" s="4">
        <v>0</v>
      </c>
    </row>
    <row r="15" spans="1:8" ht="16">
      <c r="A15" s="62" t="s">
        <v>71</v>
      </c>
      <c r="B15" s="63"/>
      <c r="C15" s="64"/>
      <c r="D15" s="65">
        <f>SUM(D6:D14)</f>
        <v>17</v>
      </c>
      <c r="E15" s="65">
        <f>SUM(E6:E14)</f>
        <v>11</v>
      </c>
      <c r="F15" s="65">
        <f>SUM(F6:F14)</f>
        <v>3</v>
      </c>
      <c r="G15" s="65">
        <f>SUM(G6:G14)</f>
        <v>3</v>
      </c>
      <c r="H15" s="65">
        <f>SUM(H6:H14)</f>
        <v>0</v>
      </c>
    </row>
    <row r="16" spans="1:8" ht="16">
      <c r="A16" s="44" t="s">
        <v>72</v>
      </c>
      <c r="B16" s="45"/>
      <c r="C16" s="45"/>
      <c r="D16" s="45"/>
      <c r="E16" s="45"/>
      <c r="F16" s="45"/>
      <c r="G16" s="45"/>
      <c r="H16" s="45"/>
    </row>
    <row r="17" spans="1:8" ht="16">
      <c r="A17" s="13">
        <v>1</v>
      </c>
      <c r="B17" s="4" t="s">
        <v>143</v>
      </c>
      <c r="C17" s="4" t="s">
        <v>75</v>
      </c>
      <c r="D17" s="4">
        <v>3</v>
      </c>
      <c r="E17" s="4">
        <v>3</v>
      </c>
      <c r="F17" s="4">
        <v>0</v>
      </c>
      <c r="G17" s="4">
        <v>0</v>
      </c>
      <c r="H17" s="4">
        <v>0</v>
      </c>
    </row>
    <row r="18" spans="1:8" ht="16">
      <c r="A18" s="13">
        <v>2</v>
      </c>
      <c r="B18" s="4" t="s">
        <v>147</v>
      </c>
      <c r="C18" s="4" t="s">
        <v>23</v>
      </c>
      <c r="D18" s="14">
        <v>3</v>
      </c>
      <c r="E18" s="14">
        <v>3</v>
      </c>
      <c r="F18" s="14">
        <v>0</v>
      </c>
      <c r="G18" s="14">
        <v>0</v>
      </c>
      <c r="H18" s="14">
        <v>0</v>
      </c>
    </row>
    <row r="19" spans="1:8" ht="16">
      <c r="A19" s="13">
        <v>3</v>
      </c>
      <c r="B19" s="4" t="s">
        <v>148</v>
      </c>
      <c r="C19" s="4" t="s">
        <v>24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</row>
    <row r="20" spans="1:8" ht="16">
      <c r="A20" s="13">
        <v>4</v>
      </c>
      <c r="B20" s="14" t="s">
        <v>150</v>
      </c>
      <c r="C20" s="4" t="s">
        <v>29</v>
      </c>
      <c r="D20" s="4">
        <v>3</v>
      </c>
      <c r="E20" s="4">
        <v>3</v>
      </c>
      <c r="F20" s="4">
        <v>0</v>
      </c>
      <c r="G20" s="4">
        <v>0</v>
      </c>
      <c r="H20" s="4">
        <v>0</v>
      </c>
    </row>
    <row r="21" spans="1:8" ht="16">
      <c r="A21" s="13">
        <v>5</v>
      </c>
      <c r="B21" s="14" t="s">
        <v>152</v>
      </c>
      <c r="C21" s="4" t="s">
        <v>36</v>
      </c>
      <c r="D21" s="4">
        <v>3</v>
      </c>
      <c r="E21" s="4">
        <v>2</v>
      </c>
      <c r="F21" s="4">
        <v>1</v>
      </c>
      <c r="G21" s="4">
        <v>0</v>
      </c>
      <c r="H21" s="4">
        <v>0</v>
      </c>
    </row>
    <row r="22" spans="1:8" ht="16">
      <c r="A22" s="13">
        <v>6</v>
      </c>
      <c r="B22" s="14" t="s">
        <v>153</v>
      </c>
      <c r="C22" s="4" t="s">
        <v>37</v>
      </c>
      <c r="D22" s="4">
        <v>3</v>
      </c>
      <c r="E22" s="4">
        <v>3</v>
      </c>
      <c r="F22" s="4">
        <v>0</v>
      </c>
      <c r="G22" s="4">
        <v>0</v>
      </c>
      <c r="H22" s="4">
        <v>0</v>
      </c>
    </row>
    <row r="23" spans="1:8" ht="16">
      <c r="A23" s="13">
        <v>7</v>
      </c>
      <c r="B23" s="14" t="s">
        <v>154</v>
      </c>
      <c r="C23" s="4" t="s">
        <v>223</v>
      </c>
      <c r="D23" s="4">
        <v>2</v>
      </c>
      <c r="E23" s="4">
        <v>2</v>
      </c>
      <c r="F23" s="4">
        <v>0</v>
      </c>
      <c r="G23" s="4">
        <v>0</v>
      </c>
      <c r="H23" s="4">
        <v>0</v>
      </c>
    </row>
    <row r="24" spans="1:8" ht="16">
      <c r="A24" s="13">
        <v>8</v>
      </c>
      <c r="B24" s="14" t="s">
        <v>155</v>
      </c>
      <c r="C24" s="4" t="s">
        <v>38</v>
      </c>
      <c r="D24" s="4">
        <v>3</v>
      </c>
      <c r="E24" s="4">
        <v>3</v>
      </c>
      <c r="F24" s="4">
        <v>0</v>
      </c>
      <c r="G24" s="4">
        <v>0</v>
      </c>
      <c r="H24" s="4">
        <v>0</v>
      </c>
    </row>
    <row r="25" spans="1:8" ht="16">
      <c r="A25" s="13">
        <v>9</v>
      </c>
      <c r="B25" s="14" t="s">
        <v>159</v>
      </c>
      <c r="C25" s="4" t="s">
        <v>45</v>
      </c>
      <c r="D25" s="4">
        <v>3</v>
      </c>
      <c r="E25" s="4">
        <v>3</v>
      </c>
      <c r="F25" s="4">
        <v>0</v>
      </c>
      <c r="G25" s="4">
        <v>0</v>
      </c>
      <c r="H25" s="4">
        <v>0</v>
      </c>
    </row>
    <row r="26" spans="1:8" ht="16">
      <c r="A26" s="13">
        <v>10</v>
      </c>
      <c r="B26" s="14" t="s">
        <v>157</v>
      </c>
      <c r="C26" s="4" t="s">
        <v>52</v>
      </c>
      <c r="D26" s="4">
        <v>3</v>
      </c>
      <c r="E26" s="4">
        <v>3</v>
      </c>
      <c r="F26" s="4">
        <v>0</v>
      </c>
      <c r="G26" s="4">
        <v>0</v>
      </c>
      <c r="H26" s="4">
        <v>0</v>
      </c>
    </row>
    <row r="27" spans="1:8" ht="16">
      <c r="A27" s="13">
        <v>11</v>
      </c>
      <c r="B27" s="14" t="s">
        <v>151</v>
      </c>
      <c r="C27" s="4" t="s">
        <v>30</v>
      </c>
      <c r="D27" s="4">
        <v>2</v>
      </c>
      <c r="E27" s="4">
        <v>2</v>
      </c>
      <c r="F27" s="4">
        <v>0</v>
      </c>
      <c r="G27" s="4">
        <v>0</v>
      </c>
      <c r="H27" s="4">
        <v>0</v>
      </c>
    </row>
    <row r="28" spans="1:8" ht="16">
      <c r="A28" s="13">
        <v>12</v>
      </c>
      <c r="B28" s="50" t="s">
        <v>158</v>
      </c>
      <c r="C28" s="55" t="s">
        <v>226</v>
      </c>
      <c r="D28" s="15">
        <v>4</v>
      </c>
      <c r="E28" s="15">
        <v>0</v>
      </c>
      <c r="F28" s="15">
        <v>0</v>
      </c>
      <c r="G28" s="15">
        <v>4</v>
      </c>
      <c r="H28" s="15">
        <v>0</v>
      </c>
    </row>
    <row r="29" spans="1:8" ht="16">
      <c r="A29" s="48" t="s">
        <v>73</v>
      </c>
      <c r="B29" s="48"/>
      <c r="C29" s="48"/>
      <c r="D29" s="16">
        <f>SUM(D17:D28)</f>
        <v>34</v>
      </c>
      <c r="E29" s="16">
        <f>SUM(E17:E28)</f>
        <v>27</v>
      </c>
      <c r="F29" s="16">
        <f>SUM(F17:F28)</f>
        <v>3</v>
      </c>
      <c r="G29" s="16">
        <f>SUM(G17:G28)</f>
        <v>4</v>
      </c>
      <c r="H29" s="16">
        <v>0</v>
      </c>
    </row>
    <row r="30" spans="1:8" ht="16">
      <c r="A30" s="44" t="s">
        <v>90</v>
      </c>
      <c r="B30" s="45"/>
      <c r="C30" s="45"/>
      <c r="D30" s="45"/>
      <c r="E30" s="45"/>
      <c r="F30" s="45"/>
      <c r="G30" s="45"/>
      <c r="H30" s="45"/>
    </row>
    <row r="31" spans="1:8" ht="16">
      <c r="A31" s="11">
        <v>1</v>
      </c>
      <c r="B31" s="4" t="s">
        <v>93</v>
      </c>
      <c r="C31" s="4" t="s">
        <v>15</v>
      </c>
      <c r="D31" s="4">
        <v>2</v>
      </c>
      <c r="E31" s="4">
        <v>2</v>
      </c>
      <c r="F31" s="4">
        <v>0</v>
      </c>
      <c r="G31" s="4">
        <v>0</v>
      </c>
      <c r="H31" s="4">
        <v>0</v>
      </c>
    </row>
    <row r="32" spans="1:8" ht="16">
      <c r="A32" s="11">
        <v>2</v>
      </c>
      <c r="B32" s="4" t="s">
        <v>94</v>
      </c>
      <c r="C32" s="4" t="s">
        <v>16</v>
      </c>
      <c r="D32" s="4">
        <v>2</v>
      </c>
      <c r="E32" s="4">
        <v>2</v>
      </c>
      <c r="F32" s="4">
        <v>0</v>
      </c>
      <c r="G32" s="4">
        <v>0</v>
      </c>
      <c r="H32" s="4">
        <v>0</v>
      </c>
    </row>
    <row r="33" spans="1:9" ht="16">
      <c r="A33" s="11">
        <v>3</v>
      </c>
      <c r="B33" s="4" t="s">
        <v>95</v>
      </c>
      <c r="C33" s="4" t="s">
        <v>17</v>
      </c>
      <c r="D33" s="4">
        <v>2</v>
      </c>
      <c r="E33" s="4">
        <v>2</v>
      </c>
      <c r="F33" s="4">
        <v>0</v>
      </c>
      <c r="G33" s="4">
        <v>0</v>
      </c>
      <c r="H33" s="4">
        <v>0</v>
      </c>
    </row>
    <row r="34" spans="1:9" ht="16">
      <c r="A34" s="11">
        <v>4</v>
      </c>
      <c r="B34" s="4" t="s">
        <v>96</v>
      </c>
      <c r="C34" s="4" t="s">
        <v>18</v>
      </c>
      <c r="D34" s="4">
        <v>2</v>
      </c>
      <c r="E34" s="4">
        <v>2</v>
      </c>
      <c r="F34" s="4">
        <v>0</v>
      </c>
      <c r="G34" s="4">
        <v>0</v>
      </c>
      <c r="H34" s="4">
        <v>0</v>
      </c>
    </row>
    <row r="35" spans="1:9" ht="16">
      <c r="A35" s="11">
        <v>5</v>
      </c>
      <c r="B35" s="4" t="s">
        <v>97</v>
      </c>
      <c r="C35" s="4" t="s">
        <v>19</v>
      </c>
      <c r="D35" s="4">
        <v>2</v>
      </c>
      <c r="E35" s="4">
        <v>2</v>
      </c>
      <c r="F35" s="4">
        <v>0</v>
      </c>
      <c r="G35" s="4">
        <v>0</v>
      </c>
      <c r="H35" s="4">
        <v>0</v>
      </c>
    </row>
    <row r="36" spans="1:9" ht="16">
      <c r="A36" s="11">
        <v>6</v>
      </c>
      <c r="B36" s="4" t="s">
        <v>98</v>
      </c>
      <c r="C36" s="4" t="s">
        <v>25</v>
      </c>
      <c r="D36" s="4">
        <v>2</v>
      </c>
      <c r="E36" s="4">
        <v>2</v>
      </c>
      <c r="F36" s="4">
        <v>0</v>
      </c>
      <c r="G36" s="4">
        <v>0</v>
      </c>
      <c r="H36" s="4">
        <v>0</v>
      </c>
    </row>
    <row r="37" spans="1:9" ht="16">
      <c r="A37" s="11">
        <v>7</v>
      </c>
      <c r="B37" s="4" t="s">
        <v>99</v>
      </c>
      <c r="C37" s="4" t="s">
        <v>84</v>
      </c>
      <c r="D37" s="4">
        <v>2</v>
      </c>
      <c r="E37" s="4">
        <v>2</v>
      </c>
      <c r="F37" s="4">
        <v>0</v>
      </c>
      <c r="G37" s="4">
        <v>0</v>
      </c>
      <c r="H37" s="4">
        <v>0</v>
      </c>
    </row>
    <row r="38" spans="1:9" ht="16">
      <c r="A38" s="11">
        <v>8</v>
      </c>
      <c r="B38" s="4" t="s">
        <v>100</v>
      </c>
      <c r="C38" s="4" t="s">
        <v>26</v>
      </c>
      <c r="D38" s="4">
        <v>2</v>
      </c>
      <c r="E38" s="4">
        <v>2</v>
      </c>
      <c r="F38" s="4">
        <v>0</v>
      </c>
      <c r="G38" s="4">
        <v>0</v>
      </c>
      <c r="H38" s="4">
        <v>0</v>
      </c>
    </row>
    <row r="39" spans="1:9" ht="16">
      <c r="A39" s="11">
        <v>9</v>
      </c>
      <c r="B39" s="4" t="s">
        <v>101</v>
      </c>
      <c r="C39" s="4" t="s">
        <v>39</v>
      </c>
      <c r="D39" s="4">
        <v>2</v>
      </c>
      <c r="E39" s="4">
        <v>2</v>
      </c>
      <c r="F39" s="4">
        <v>0</v>
      </c>
      <c r="G39" s="4">
        <v>0</v>
      </c>
      <c r="H39" s="4">
        <v>0</v>
      </c>
      <c r="I39" t="s">
        <v>91</v>
      </c>
    </row>
    <row r="40" spans="1:9" ht="16">
      <c r="A40" s="11">
        <v>10</v>
      </c>
      <c r="B40" s="4" t="s">
        <v>102</v>
      </c>
      <c r="C40" s="4" t="s">
        <v>27</v>
      </c>
      <c r="D40" s="4">
        <v>2</v>
      </c>
      <c r="E40" s="4">
        <v>2</v>
      </c>
      <c r="F40" s="4">
        <v>0</v>
      </c>
      <c r="G40" s="4">
        <v>0</v>
      </c>
      <c r="H40" s="4">
        <v>0</v>
      </c>
    </row>
    <row r="41" spans="1:9" ht="16">
      <c r="A41" s="11">
        <v>11</v>
      </c>
      <c r="B41" s="4" t="s">
        <v>103</v>
      </c>
      <c r="C41" s="14" t="s">
        <v>82</v>
      </c>
      <c r="D41" s="14">
        <v>2</v>
      </c>
      <c r="E41" s="14">
        <v>2</v>
      </c>
      <c r="F41" s="14">
        <v>0</v>
      </c>
      <c r="G41" s="14">
        <v>0</v>
      </c>
      <c r="H41" s="14">
        <v>0</v>
      </c>
    </row>
    <row r="42" spans="1:9" ht="16">
      <c r="A42" s="11">
        <v>12</v>
      </c>
      <c r="B42" s="4" t="s">
        <v>104</v>
      </c>
      <c r="C42" s="4" t="s">
        <v>83</v>
      </c>
      <c r="D42" s="4">
        <v>2</v>
      </c>
      <c r="E42" s="4">
        <v>2</v>
      </c>
      <c r="F42" s="4">
        <v>0</v>
      </c>
      <c r="G42" s="4">
        <v>0</v>
      </c>
      <c r="H42" s="4">
        <v>0</v>
      </c>
      <c r="I42" t="s">
        <v>91</v>
      </c>
    </row>
    <row r="43" spans="1:9" ht="16">
      <c r="A43" s="11">
        <v>13</v>
      </c>
      <c r="B43" s="4" t="s">
        <v>105</v>
      </c>
      <c r="C43" s="4" t="s">
        <v>31</v>
      </c>
      <c r="D43" s="4">
        <v>2</v>
      </c>
      <c r="E43" s="4">
        <v>2</v>
      </c>
      <c r="F43" s="4">
        <v>0</v>
      </c>
      <c r="G43" s="4">
        <v>0</v>
      </c>
      <c r="H43" s="4">
        <v>0</v>
      </c>
    </row>
    <row r="44" spans="1:9" ht="16">
      <c r="A44" s="11">
        <v>14</v>
      </c>
      <c r="B44" s="4" t="s">
        <v>106</v>
      </c>
      <c r="C44" s="4" t="s">
        <v>32</v>
      </c>
      <c r="D44" s="4">
        <v>2</v>
      </c>
      <c r="E44" s="4">
        <v>2</v>
      </c>
      <c r="F44" s="4">
        <v>0</v>
      </c>
      <c r="G44" s="4">
        <v>0</v>
      </c>
      <c r="H44" s="4">
        <v>0</v>
      </c>
    </row>
    <row r="45" spans="1:9" ht="16">
      <c r="A45" s="11">
        <v>15</v>
      </c>
      <c r="B45" s="4" t="s">
        <v>107</v>
      </c>
      <c r="C45" s="4" t="s">
        <v>81</v>
      </c>
      <c r="D45" s="4">
        <v>2</v>
      </c>
      <c r="E45" s="4">
        <v>2</v>
      </c>
      <c r="F45" s="4">
        <v>0</v>
      </c>
      <c r="G45" s="4">
        <v>0</v>
      </c>
      <c r="H45" s="4">
        <v>0</v>
      </c>
    </row>
    <row r="46" spans="1:9" ht="16">
      <c r="A46" s="11">
        <v>16</v>
      </c>
      <c r="B46" s="4" t="s">
        <v>108</v>
      </c>
      <c r="C46" s="4" t="s">
        <v>34</v>
      </c>
      <c r="D46" s="4">
        <v>2</v>
      </c>
      <c r="E46" s="4">
        <v>2</v>
      </c>
      <c r="F46" s="4">
        <v>0</v>
      </c>
      <c r="G46" s="4">
        <v>0</v>
      </c>
      <c r="H46" s="4">
        <v>0</v>
      </c>
    </row>
    <row r="47" spans="1:9" ht="16">
      <c r="A47" s="11">
        <v>17</v>
      </c>
      <c r="B47" s="4" t="s">
        <v>109</v>
      </c>
      <c r="C47" s="4" t="s">
        <v>138</v>
      </c>
      <c r="D47" s="4">
        <v>2</v>
      </c>
      <c r="E47" s="4">
        <v>2</v>
      </c>
      <c r="F47" s="4">
        <v>0</v>
      </c>
      <c r="G47" s="4">
        <v>0</v>
      </c>
      <c r="H47" s="4">
        <v>0</v>
      </c>
    </row>
    <row r="48" spans="1:9" ht="18" customHeight="1">
      <c r="A48" s="11">
        <v>18</v>
      </c>
      <c r="B48" s="4" t="s">
        <v>110</v>
      </c>
      <c r="C48" s="4" t="s">
        <v>40</v>
      </c>
      <c r="D48" s="4">
        <v>3</v>
      </c>
      <c r="E48" s="4">
        <v>3</v>
      </c>
      <c r="F48" s="4">
        <v>0</v>
      </c>
      <c r="G48" s="4">
        <v>0</v>
      </c>
      <c r="H48" s="4">
        <v>0</v>
      </c>
    </row>
    <row r="49" spans="1:9" ht="18" customHeight="1">
      <c r="A49" s="11">
        <v>19</v>
      </c>
      <c r="B49" s="4" t="s">
        <v>111</v>
      </c>
      <c r="C49" s="4" t="s">
        <v>41</v>
      </c>
      <c r="D49" s="4">
        <v>2</v>
      </c>
      <c r="E49" s="4">
        <v>2</v>
      </c>
      <c r="F49" s="4">
        <v>0</v>
      </c>
      <c r="G49" s="4">
        <v>0</v>
      </c>
      <c r="H49" s="4">
        <v>0</v>
      </c>
    </row>
    <row r="50" spans="1:9" ht="16">
      <c r="A50" s="11">
        <v>20</v>
      </c>
      <c r="B50" s="4" t="s">
        <v>112</v>
      </c>
      <c r="C50" s="4" t="s">
        <v>42</v>
      </c>
      <c r="D50" s="4">
        <v>3</v>
      </c>
      <c r="E50" s="4">
        <v>3</v>
      </c>
      <c r="F50" s="4">
        <v>0</v>
      </c>
      <c r="G50" s="4">
        <v>0</v>
      </c>
      <c r="H50" s="4">
        <v>0</v>
      </c>
    </row>
    <row r="51" spans="1:9" ht="16">
      <c r="A51" s="11">
        <v>21</v>
      </c>
      <c r="B51" s="4" t="s">
        <v>113</v>
      </c>
      <c r="C51" s="4" t="s">
        <v>48</v>
      </c>
      <c r="D51" s="4">
        <v>2</v>
      </c>
      <c r="E51" s="4">
        <v>2</v>
      </c>
      <c r="F51" s="4">
        <v>0</v>
      </c>
      <c r="G51" s="4">
        <v>0</v>
      </c>
      <c r="H51" s="4">
        <v>0</v>
      </c>
    </row>
    <row r="52" spans="1:9" ht="16">
      <c r="A52" s="11">
        <v>22</v>
      </c>
      <c r="B52" s="4" t="s">
        <v>114</v>
      </c>
      <c r="C52" s="4" t="s">
        <v>74</v>
      </c>
      <c r="D52" s="4">
        <v>2</v>
      </c>
      <c r="E52" s="4">
        <v>2</v>
      </c>
      <c r="F52" s="4">
        <v>0</v>
      </c>
      <c r="G52" s="4">
        <v>0</v>
      </c>
      <c r="H52" s="4">
        <v>0</v>
      </c>
      <c r="I52" t="s">
        <v>91</v>
      </c>
    </row>
    <row r="53" spans="1:9" ht="16">
      <c r="A53" s="11">
        <v>23</v>
      </c>
      <c r="B53" s="4" t="s">
        <v>115</v>
      </c>
      <c r="C53" s="4" t="s">
        <v>46</v>
      </c>
      <c r="D53" s="4">
        <v>2</v>
      </c>
      <c r="E53" s="4">
        <v>2</v>
      </c>
      <c r="F53" s="4">
        <v>0</v>
      </c>
      <c r="G53" s="4">
        <v>0</v>
      </c>
      <c r="H53" s="4">
        <v>0</v>
      </c>
    </row>
    <row r="54" spans="1:9" ht="16">
      <c r="A54" s="11">
        <v>24</v>
      </c>
      <c r="B54" s="4" t="s">
        <v>116</v>
      </c>
      <c r="C54" s="4" t="s">
        <v>47</v>
      </c>
      <c r="D54" s="4">
        <v>2</v>
      </c>
      <c r="E54" s="4">
        <v>2</v>
      </c>
      <c r="F54" s="4">
        <v>0</v>
      </c>
      <c r="G54" s="4">
        <v>0</v>
      </c>
      <c r="H54" s="4">
        <v>0</v>
      </c>
      <c r="I54" t="s">
        <v>91</v>
      </c>
    </row>
    <row r="55" spans="1:9" ht="16">
      <c r="A55" s="11">
        <v>25</v>
      </c>
      <c r="B55" s="4" t="s">
        <v>117</v>
      </c>
      <c r="C55" s="4" t="s">
        <v>50</v>
      </c>
      <c r="D55" s="4">
        <v>2</v>
      </c>
      <c r="E55" s="4">
        <v>2</v>
      </c>
      <c r="F55" s="4">
        <v>0</v>
      </c>
      <c r="G55" s="4">
        <v>0</v>
      </c>
      <c r="H55" s="4">
        <v>0</v>
      </c>
    </row>
    <row r="56" spans="1:9" ht="16">
      <c r="A56" s="11">
        <v>26</v>
      </c>
      <c r="B56" s="4" t="s">
        <v>118</v>
      </c>
      <c r="C56" s="4" t="s">
        <v>55</v>
      </c>
      <c r="D56" s="4">
        <v>2</v>
      </c>
      <c r="E56" s="4">
        <v>2</v>
      </c>
      <c r="F56" s="4">
        <v>0</v>
      </c>
      <c r="G56" s="4">
        <v>0</v>
      </c>
      <c r="H56" s="4">
        <v>0</v>
      </c>
    </row>
    <row r="57" spans="1:9" ht="16">
      <c r="A57" s="11">
        <v>27</v>
      </c>
      <c r="B57" s="4" t="s">
        <v>119</v>
      </c>
      <c r="C57" s="4" t="s">
        <v>49</v>
      </c>
      <c r="D57" s="4">
        <v>2</v>
      </c>
      <c r="E57" s="4">
        <v>2</v>
      </c>
      <c r="F57" s="4">
        <v>0</v>
      </c>
      <c r="G57" s="4">
        <v>0</v>
      </c>
      <c r="H57" s="4">
        <v>0</v>
      </c>
    </row>
    <row r="58" spans="1:9" ht="16">
      <c r="A58" s="11">
        <v>28</v>
      </c>
      <c r="B58" s="4" t="s">
        <v>120</v>
      </c>
      <c r="C58" s="4" t="s">
        <v>85</v>
      </c>
      <c r="D58" s="4">
        <v>2</v>
      </c>
      <c r="E58" s="4">
        <v>2</v>
      </c>
      <c r="F58" s="4">
        <v>0</v>
      </c>
      <c r="G58" s="4">
        <v>0</v>
      </c>
      <c r="H58" s="4">
        <v>0</v>
      </c>
    </row>
    <row r="59" spans="1:9" ht="16">
      <c r="A59" s="11">
        <v>29</v>
      </c>
      <c r="B59" s="4" t="s">
        <v>121</v>
      </c>
      <c r="C59" s="4" t="s">
        <v>33</v>
      </c>
      <c r="D59" s="4">
        <v>2</v>
      </c>
      <c r="E59" s="4">
        <v>2</v>
      </c>
      <c r="F59" s="4">
        <v>0</v>
      </c>
      <c r="G59" s="4">
        <v>0</v>
      </c>
      <c r="H59" s="4">
        <v>0</v>
      </c>
    </row>
    <row r="60" spans="1:9" ht="16">
      <c r="A60" s="11">
        <v>30</v>
      </c>
      <c r="B60" s="4" t="s">
        <v>122</v>
      </c>
      <c r="C60" s="4" t="s">
        <v>53</v>
      </c>
      <c r="D60" s="4">
        <v>1</v>
      </c>
      <c r="E60" s="4">
        <v>0</v>
      </c>
      <c r="F60" s="4">
        <v>0</v>
      </c>
      <c r="G60" s="4">
        <v>1</v>
      </c>
      <c r="H60" s="4">
        <v>0</v>
      </c>
    </row>
    <row r="61" spans="1:9" ht="16">
      <c r="A61" s="11">
        <v>31</v>
      </c>
      <c r="B61" s="4" t="s">
        <v>123</v>
      </c>
      <c r="C61" s="4" t="s">
        <v>54</v>
      </c>
      <c r="D61" s="4">
        <v>2</v>
      </c>
      <c r="E61" s="4">
        <v>2</v>
      </c>
      <c r="F61" s="4">
        <v>0</v>
      </c>
      <c r="G61" s="4">
        <v>0</v>
      </c>
      <c r="H61" s="4">
        <v>0</v>
      </c>
      <c r="I61" t="s">
        <v>91</v>
      </c>
    </row>
    <row r="62" spans="1:9" ht="16">
      <c r="A62" s="11">
        <v>32</v>
      </c>
      <c r="B62" s="4" t="s">
        <v>124</v>
      </c>
      <c r="C62" s="4" t="s">
        <v>220</v>
      </c>
      <c r="D62" s="4">
        <v>2</v>
      </c>
      <c r="E62" s="4">
        <v>2</v>
      </c>
      <c r="F62" s="4">
        <v>0</v>
      </c>
      <c r="G62" s="4">
        <v>0</v>
      </c>
      <c r="H62" s="4">
        <v>0</v>
      </c>
    </row>
    <row r="63" spans="1:9" ht="16">
      <c r="A63" s="11">
        <v>33</v>
      </c>
      <c r="B63" s="4" t="s">
        <v>125</v>
      </c>
      <c r="C63" s="4" t="s">
        <v>86</v>
      </c>
      <c r="D63" s="4">
        <v>2</v>
      </c>
      <c r="E63" s="4">
        <v>2</v>
      </c>
      <c r="F63" s="4">
        <v>0</v>
      </c>
      <c r="G63" s="4">
        <v>0</v>
      </c>
      <c r="H63" s="4">
        <v>0</v>
      </c>
      <c r="I63" s="17"/>
    </row>
    <row r="64" spans="1:9" ht="16">
      <c r="A64" s="11">
        <v>34</v>
      </c>
      <c r="B64" s="4" t="s">
        <v>126</v>
      </c>
      <c r="C64" s="4" t="s">
        <v>43</v>
      </c>
      <c r="D64" s="4">
        <v>2</v>
      </c>
      <c r="E64" s="4">
        <v>2</v>
      </c>
      <c r="F64" s="4">
        <v>0</v>
      </c>
      <c r="G64" s="4">
        <v>0</v>
      </c>
      <c r="H64" s="4">
        <v>0</v>
      </c>
    </row>
    <row r="65" spans="1:8" ht="16">
      <c r="A65" s="11">
        <v>35</v>
      </c>
      <c r="B65" s="4" t="s">
        <v>127</v>
      </c>
      <c r="C65" s="4" t="s">
        <v>222</v>
      </c>
      <c r="D65" s="4">
        <v>3</v>
      </c>
      <c r="E65" s="4">
        <v>0</v>
      </c>
      <c r="F65" s="4">
        <v>3</v>
      </c>
      <c r="G65" s="4">
        <v>0</v>
      </c>
      <c r="H65" s="4">
        <v>0</v>
      </c>
    </row>
    <row r="66" spans="1:8" ht="16">
      <c r="A66" s="11">
        <v>36</v>
      </c>
      <c r="B66" s="4" t="s">
        <v>128</v>
      </c>
      <c r="C66" s="50" t="s">
        <v>224</v>
      </c>
      <c r="D66" s="4">
        <v>2</v>
      </c>
      <c r="E66" s="4">
        <v>2</v>
      </c>
      <c r="F66" s="4">
        <v>0</v>
      </c>
      <c r="G66" s="4">
        <v>0</v>
      </c>
      <c r="H66" s="4">
        <v>0</v>
      </c>
    </row>
    <row r="67" spans="1:8" ht="16">
      <c r="A67" s="11">
        <v>37</v>
      </c>
      <c r="B67" s="4" t="s">
        <v>129</v>
      </c>
      <c r="C67" s="4" t="s">
        <v>58</v>
      </c>
      <c r="D67" s="4">
        <v>2</v>
      </c>
      <c r="E67" s="4">
        <v>2</v>
      </c>
      <c r="F67" s="4">
        <v>0</v>
      </c>
      <c r="G67" s="4">
        <v>0</v>
      </c>
      <c r="H67" s="4">
        <v>0</v>
      </c>
    </row>
    <row r="68" spans="1:8" ht="16">
      <c r="A68" s="11">
        <v>38</v>
      </c>
      <c r="B68" s="4" t="s">
        <v>130</v>
      </c>
      <c r="C68" s="4" t="s">
        <v>59</v>
      </c>
      <c r="D68" s="4">
        <v>2</v>
      </c>
      <c r="E68" s="4">
        <v>2</v>
      </c>
      <c r="F68" s="4">
        <v>0</v>
      </c>
      <c r="G68" s="4">
        <v>0</v>
      </c>
      <c r="H68" s="4">
        <v>0</v>
      </c>
    </row>
    <row r="69" spans="1:8" ht="16">
      <c r="A69" s="11">
        <v>39</v>
      </c>
      <c r="B69" s="4" t="s">
        <v>131</v>
      </c>
      <c r="C69" s="4" t="s">
        <v>60</v>
      </c>
      <c r="D69" s="4">
        <v>2</v>
      </c>
      <c r="E69" s="4">
        <v>2</v>
      </c>
      <c r="F69" s="4">
        <v>0</v>
      </c>
      <c r="G69" s="4">
        <v>0</v>
      </c>
      <c r="H69" s="4">
        <v>0</v>
      </c>
    </row>
    <row r="70" spans="1:8" ht="16">
      <c r="A70" s="11">
        <v>40</v>
      </c>
      <c r="B70" s="4" t="s">
        <v>229</v>
      </c>
      <c r="C70" s="4" t="s">
        <v>62</v>
      </c>
      <c r="D70" s="4">
        <v>6</v>
      </c>
      <c r="E70" s="4">
        <v>0</v>
      </c>
      <c r="F70" s="4">
        <v>0</v>
      </c>
      <c r="G70" s="4">
        <v>6</v>
      </c>
      <c r="H70" s="4">
        <v>0</v>
      </c>
    </row>
    <row r="71" spans="1:8" ht="16">
      <c r="A71" s="46" t="s">
        <v>71</v>
      </c>
      <c r="B71" s="46"/>
      <c r="C71" s="47"/>
      <c r="D71" s="19">
        <f>SUM(D31:D70)</f>
        <v>86</v>
      </c>
      <c r="E71" s="66">
        <f>SUM(E31:E70)</f>
        <v>76</v>
      </c>
      <c r="F71" s="66">
        <f>SUM(F31:F70)</f>
        <v>3</v>
      </c>
      <c r="G71" s="66">
        <f>SUM(G31:G70)</f>
        <v>7</v>
      </c>
      <c r="H71" s="66">
        <f>SUM(H31:H70)</f>
        <v>0</v>
      </c>
    </row>
    <row r="72" spans="1:8" ht="16">
      <c r="A72" s="44" t="s">
        <v>92</v>
      </c>
      <c r="B72" s="45"/>
      <c r="C72" s="45"/>
      <c r="D72" s="45"/>
      <c r="E72" s="45"/>
      <c r="F72" s="45"/>
      <c r="G72" s="45"/>
      <c r="H72" s="45"/>
    </row>
    <row r="73" spans="1:8" ht="16">
      <c r="A73" s="11">
        <v>1</v>
      </c>
      <c r="B73" s="4" t="s">
        <v>132</v>
      </c>
      <c r="C73" s="4" t="s">
        <v>87</v>
      </c>
      <c r="D73" s="4">
        <v>2</v>
      </c>
      <c r="E73" s="4">
        <v>2</v>
      </c>
      <c r="F73" s="4">
        <v>0</v>
      </c>
      <c r="G73" s="4">
        <v>0</v>
      </c>
      <c r="H73" s="4">
        <v>0</v>
      </c>
    </row>
    <row r="74" spans="1:8" ht="16">
      <c r="A74" s="11">
        <v>2</v>
      </c>
      <c r="B74" s="4" t="s">
        <v>133</v>
      </c>
      <c r="C74" s="4" t="s">
        <v>88</v>
      </c>
      <c r="D74" s="4">
        <v>2</v>
      </c>
      <c r="E74" s="4">
        <v>2</v>
      </c>
      <c r="F74" s="4">
        <v>0</v>
      </c>
      <c r="G74" s="4">
        <v>0</v>
      </c>
      <c r="H74" s="4">
        <v>0</v>
      </c>
    </row>
    <row r="75" spans="1:8" ht="16">
      <c r="A75" s="11">
        <v>3</v>
      </c>
      <c r="B75" s="4" t="s">
        <v>134</v>
      </c>
      <c r="C75" s="4" t="s">
        <v>89</v>
      </c>
      <c r="D75" s="4">
        <v>2</v>
      </c>
      <c r="E75" s="4">
        <v>2</v>
      </c>
      <c r="F75" s="4">
        <v>0</v>
      </c>
      <c r="G75" s="4">
        <v>0</v>
      </c>
      <c r="H75" s="4">
        <v>0</v>
      </c>
    </row>
    <row r="76" spans="1:8" ht="16">
      <c r="A76" s="11">
        <v>4</v>
      </c>
      <c r="B76" s="4" t="s">
        <v>135</v>
      </c>
      <c r="C76" s="4" t="s">
        <v>139</v>
      </c>
      <c r="D76" s="4">
        <v>2</v>
      </c>
      <c r="E76" s="4">
        <v>2</v>
      </c>
      <c r="F76" s="4">
        <v>0</v>
      </c>
      <c r="G76" s="4">
        <v>0</v>
      </c>
      <c r="H76" s="4">
        <v>0</v>
      </c>
    </row>
    <row r="77" spans="1:8" ht="16">
      <c r="A77" s="11">
        <v>5</v>
      </c>
      <c r="B77" s="4" t="s">
        <v>136</v>
      </c>
      <c r="C77" s="4" t="s">
        <v>228</v>
      </c>
      <c r="D77" s="4">
        <v>2</v>
      </c>
      <c r="E77" s="4">
        <v>2</v>
      </c>
      <c r="F77" s="4">
        <v>0</v>
      </c>
      <c r="G77" s="4">
        <v>0</v>
      </c>
      <c r="H77" s="4">
        <v>0</v>
      </c>
    </row>
    <row r="78" spans="1:8" ht="16">
      <c r="A78" s="39" t="s">
        <v>71</v>
      </c>
      <c r="B78" s="39"/>
      <c r="C78" s="39"/>
      <c r="D78" s="20">
        <f>SUM(D73:D77)</f>
        <v>10</v>
      </c>
      <c r="E78" s="20">
        <f>SUM(E73:E77)</f>
        <v>10</v>
      </c>
      <c r="F78" s="67"/>
      <c r="G78" s="67"/>
      <c r="H78" s="67"/>
    </row>
    <row r="81" spans="3:3" ht="16">
      <c r="C81" s="2" t="s">
        <v>231</v>
      </c>
    </row>
    <row r="82" spans="3:3" ht="16">
      <c r="C82" s="2" t="s">
        <v>137</v>
      </c>
    </row>
    <row r="83" spans="3:3" ht="16">
      <c r="C83" s="2" t="s">
        <v>232</v>
      </c>
    </row>
  </sheetData>
  <mergeCells count="13">
    <mergeCell ref="A72:H72"/>
    <mergeCell ref="A71:C71"/>
    <mergeCell ref="A78:C78"/>
    <mergeCell ref="A16:H16"/>
    <mergeCell ref="A29:C29"/>
    <mergeCell ref="A30:H30"/>
    <mergeCell ref="A15:C15"/>
    <mergeCell ref="A10:H10"/>
    <mergeCell ref="A1:H1"/>
    <mergeCell ref="A3:A4"/>
    <mergeCell ref="C3:C4"/>
    <mergeCell ref="D3:H3"/>
    <mergeCell ref="A5:H5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KKNI Sebaran Per Semester</vt:lpstr>
      <vt:lpstr>Struktur KKNI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S Handani</dc:creator>
  <cp:lastModifiedBy>Microsoft Office User</cp:lastModifiedBy>
  <dcterms:created xsi:type="dcterms:W3CDTF">2023-10-19T13:48:57Z</dcterms:created>
  <dcterms:modified xsi:type="dcterms:W3CDTF">2026-04-14T00:36:48Z</dcterms:modified>
</cp:coreProperties>
</file>