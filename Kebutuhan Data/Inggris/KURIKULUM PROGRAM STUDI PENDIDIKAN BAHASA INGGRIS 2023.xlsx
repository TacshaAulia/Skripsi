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2023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50" i="3" l="1"/>
  <c r="M49" i="3"/>
  <c r="M47" i="3"/>
  <c r="M46" i="3"/>
  <c r="M43" i="3"/>
  <c r="N40" i="3"/>
  <c r="M50" i="3" s="1"/>
  <c r="I34" i="3"/>
  <c r="M45" i="3" s="1"/>
  <c r="N29" i="3"/>
  <c r="I19" i="3"/>
  <c r="M44" i="3" s="1"/>
  <c r="N17" i="3"/>
  <c r="M48" i="3" s="1"/>
  <c r="I51" i="1" l="1"/>
  <c r="H61" i="1" s="1"/>
  <c r="I41" i="1"/>
  <c r="H60" i="1" s="1"/>
  <c r="I29" i="1"/>
  <c r="H59" i="1" s="1"/>
  <c r="I16" i="1"/>
  <c r="H58" i="1" s="1"/>
  <c r="D61" i="1" l="1"/>
  <c r="H57" i="1" s="1"/>
  <c r="D46" i="1"/>
  <c r="H56" i="1" s="1"/>
  <c r="D31" i="1"/>
  <c r="H55" i="1" s="1"/>
  <c r="D15" i="1"/>
  <c r="H54" i="1" s="1"/>
  <c r="H62" i="1" l="1"/>
</calcChain>
</file>

<file path=xl/sharedStrings.xml><?xml version="1.0" encoding="utf-8"?>
<sst xmlns="http://schemas.openxmlformats.org/spreadsheetml/2006/main" count="487" uniqueCount="291">
  <si>
    <t>NO</t>
  </si>
  <si>
    <t xml:space="preserve">KODE MK </t>
  </si>
  <si>
    <t xml:space="preserve">NAMA MATA KULIAH </t>
  </si>
  <si>
    <t xml:space="preserve">SKS </t>
  </si>
  <si>
    <t>MKWK101</t>
  </si>
  <si>
    <t>AGAMA</t>
  </si>
  <si>
    <t>MKWK102</t>
  </si>
  <si>
    <t>PANCASILA</t>
  </si>
  <si>
    <t>MKWU101</t>
  </si>
  <si>
    <t>BAHASA INGGRIS</t>
  </si>
  <si>
    <t>MWBB001</t>
  </si>
  <si>
    <t>LISTENING FOR GENERAL COMMUNICATION</t>
  </si>
  <si>
    <t>MWBB002</t>
  </si>
  <si>
    <t>READING FOR GENERAL COMMUNICATION</t>
  </si>
  <si>
    <t>MWBB003</t>
  </si>
  <si>
    <t>SPEAKING FOR DAILY COMMUNICATION</t>
  </si>
  <si>
    <t>MWBB004</t>
  </si>
  <si>
    <t>BASIC WRITING</t>
  </si>
  <si>
    <t>MWBB005</t>
  </si>
  <si>
    <t>BASIC ENGLISH STRUCTURE</t>
  </si>
  <si>
    <t>MWFB201</t>
  </si>
  <si>
    <t>LANDASAN PENDIDIKAN</t>
  </si>
  <si>
    <t>SEMESTER 1</t>
  </si>
  <si>
    <t>TOTAL SKS</t>
  </si>
  <si>
    <t>KURIKULUM PROGRAM STUDI PENDIDIKAN BAHASA INGGRIS 2023</t>
  </si>
  <si>
    <t>MKWK103</t>
  </si>
  <si>
    <t>KEWARGANEGARAAN</t>
  </si>
  <si>
    <t>MKWK104</t>
  </si>
  <si>
    <t>BAHASA INDONESIA</t>
  </si>
  <si>
    <t>MKWU102</t>
  </si>
  <si>
    <t>TRANSFORMASI DIGITAL</t>
  </si>
  <si>
    <t>MWBB006</t>
  </si>
  <si>
    <t>LISTENING FOR ACADEMIC PURPOSE</t>
  </si>
  <si>
    <t>MWBB007</t>
  </si>
  <si>
    <t>BASIC READING COMPREHENSION</t>
  </si>
  <si>
    <t>MWBB008</t>
  </si>
  <si>
    <t>SPEAKING FOR FORMAL AND INFORMAL COMMUNICATION</t>
  </si>
  <si>
    <t>MWBB009</t>
  </si>
  <si>
    <t>PARAGRAPH WRITING</t>
  </si>
  <si>
    <t>MWBB010</t>
  </si>
  <si>
    <t>INTERMEDIATE GRAMMAR IN USE</t>
  </si>
  <si>
    <t>MWBB011</t>
  </si>
  <si>
    <t>ENGLISH PHONETICS AND PHONOLOGY</t>
  </si>
  <si>
    <t>MWFB202</t>
  </si>
  <si>
    <t>PERKEMBANGAN DAN BIMBINGAN PESERTA DIDIK</t>
  </si>
  <si>
    <t>MWFB203</t>
  </si>
  <si>
    <t>PENDIDIKAN OLAH RAGA DAN KESEHATAN</t>
  </si>
  <si>
    <t>SEMESTER 2</t>
  </si>
  <si>
    <t>MKWU103</t>
  </si>
  <si>
    <t>KEWIRAUSAHAAN</t>
  </si>
  <si>
    <t>MPBB201</t>
  </si>
  <si>
    <t>ENGLISH FOR BUSINESS</t>
  </si>
  <si>
    <t>MWBB012</t>
  </si>
  <si>
    <t>INTERMEDIATE READING COMPREHENSION</t>
  </si>
  <si>
    <t>MWBB013</t>
  </si>
  <si>
    <t>SPEAKING FOR BUSINESS CONTEXT</t>
  </si>
  <si>
    <t>MWBB014</t>
  </si>
  <si>
    <t>ADVANCED GRAMMAR IN USE</t>
  </si>
  <si>
    <t>MWBB015</t>
  </si>
  <si>
    <t>ESSAY WRITING</t>
  </si>
  <si>
    <t>MWBB016</t>
  </si>
  <si>
    <t>PRONUNCIATION PRACTICE</t>
  </si>
  <si>
    <t>MWBB017</t>
  </si>
  <si>
    <t>INTRODUCTION TO LINGUISTICS</t>
  </si>
  <si>
    <t>MWBB018</t>
  </si>
  <si>
    <t>PRINCIPLE OF TRANSLATING</t>
  </si>
  <si>
    <t>MWFB204</t>
  </si>
  <si>
    <t>KURIKULUM DAN PEMBELAJARAN</t>
  </si>
  <si>
    <t>MWFB211</t>
  </si>
  <si>
    <t>PENDIDIKAN LINGKUNGAN SOSIAL BUDAYA SUNDA</t>
  </si>
  <si>
    <t>SEMESTER 3</t>
  </si>
  <si>
    <t>MWBB023</t>
  </si>
  <si>
    <t>THE PRACTICE OF TRANSLATION</t>
  </si>
  <si>
    <t>MWBB026</t>
  </si>
  <si>
    <t>CROSS CULTURAL UNDERSTANDING</t>
  </si>
  <si>
    <t>MWBB021</t>
  </si>
  <si>
    <t>WRITING FOR ACADEMIC PURPOSE</t>
  </si>
  <si>
    <t>MWFB205</t>
  </si>
  <si>
    <t>PENGELOLAAN PENDIDIKAN</t>
  </si>
  <si>
    <t>MWBB028</t>
  </si>
  <si>
    <t>INTRODUCTION TO DISCOURSE ANALYSIS</t>
  </si>
  <si>
    <t>MWBB020</t>
  </si>
  <si>
    <t>SPEAKING FOR ACADEMIC PURPOSE</t>
  </si>
  <si>
    <t>MWBB025</t>
  </si>
  <si>
    <t>INTRODUCTION TO PROSE</t>
  </si>
  <si>
    <t>MWBB024</t>
  </si>
  <si>
    <t>INTRODUCTION TO LITERATURE</t>
  </si>
  <si>
    <t>MWBB019</t>
  </si>
  <si>
    <t>ADVANCED READING COMPREHENSION</t>
  </si>
  <si>
    <t>MWBB022</t>
  </si>
  <si>
    <t>GRAMMAR FOR TOEFL</t>
  </si>
  <si>
    <t>MWBB027</t>
  </si>
  <si>
    <t>TEACHING ENGLISH FOR YOUNG LEANERS 1</t>
  </si>
  <si>
    <t>SEMESTER 4</t>
  </si>
  <si>
    <t>SEMESTER 5</t>
  </si>
  <si>
    <t>EVALUASI PENDIDIKAN</t>
  </si>
  <si>
    <t>STRATEGI BELAJAR MENGAJAR </t>
  </si>
  <si>
    <t>MWFB206 </t>
  </si>
  <si>
    <t>MEDIA PEMBELAJARAN</t>
  </si>
  <si>
    <t>MWFB207</t>
  </si>
  <si>
    <t>MWFB209 </t>
  </si>
  <si>
    <t>CRITICAL READING</t>
  </si>
  <si>
    <t>MWBB029</t>
  </si>
  <si>
    <t>RESEARCH PROPOSAL AND PAPER WRITING</t>
  </si>
  <si>
    <t>MWBB030</t>
  </si>
  <si>
    <t>PUBLIC SPEAKING</t>
  </si>
  <si>
    <t>MWBB031</t>
  </si>
  <si>
    <t>ENGLISH MORPHOLOGY AND SYNTAX</t>
  </si>
  <si>
    <t>MWBB032</t>
  </si>
  <si>
    <t>INTRODUCTION TO SOCIOLINGUISTICS</t>
  </si>
  <si>
    <t>MWBB033</t>
  </si>
  <si>
    <t>PRINCIPLE OF INTERPRETING</t>
  </si>
  <si>
    <t>MWBB034</t>
  </si>
  <si>
    <t>TEACHING ENGLISH TO YOUNG LEARNERS 2</t>
  </si>
  <si>
    <t>MWBB035</t>
  </si>
  <si>
    <t>SEMESTER 6</t>
  </si>
  <si>
    <t>KULIAH KERJA NYATA</t>
  </si>
  <si>
    <t>PERENCANAAN PEMBELAJARAN</t>
  </si>
  <si>
    <t>METODE PENELITIAN PENDIDIKAN</t>
  </si>
  <si>
    <t>SEMANTICS AND PRAGMATICS</t>
  </si>
  <si>
    <t>DRAMA IN ELT</t>
  </si>
  <si>
    <t>EXTENSIVE READING</t>
  </si>
  <si>
    <t>SEMINAR ON ELT</t>
  </si>
  <si>
    <t>TRANSLATING LITERARY WORKS</t>
  </si>
  <si>
    <t>INTERPRETING</t>
  </si>
  <si>
    <t>MWBB041</t>
  </si>
  <si>
    <t>MWBB040</t>
  </si>
  <si>
    <t>MWBB039</t>
  </si>
  <si>
    <t>MWBB038</t>
  </si>
  <si>
    <t>MWBB037</t>
  </si>
  <si>
    <t>MWBB036</t>
  </si>
  <si>
    <t>MWFB210</t>
  </si>
  <si>
    <t>MWFB208</t>
  </si>
  <si>
    <t>MKWU104</t>
  </si>
  <si>
    <t>SEMESTER 7</t>
  </si>
  <si>
    <t>MWFB213</t>
  </si>
  <si>
    <t>TEACHING ENGLISH FOR SPECIFIC PURPOSE</t>
  </si>
  <si>
    <t>MWBB042</t>
  </si>
  <si>
    <t>CURRICULUM AND MATERIAL DEVELOPMENT</t>
  </si>
  <si>
    <t>MWBB043</t>
  </si>
  <si>
    <t>PSYCHOLINGUISTICS</t>
  </si>
  <si>
    <t>MWBB044 </t>
  </si>
  <si>
    <t>TRANSLATING SCIENTIFIC TEXTS</t>
  </si>
  <si>
    <t>MWBB045</t>
  </si>
  <si>
    <t>INTERPRERING INDONESIA-ENGLISH</t>
  </si>
  <si>
    <t>MWBB046 </t>
  </si>
  <si>
    <t>SKRIPSI/RESEARCH PAPER</t>
  </si>
  <si>
    <t>MWBB047</t>
  </si>
  <si>
    <t>SEMESTER 8</t>
  </si>
  <si>
    <t>TOTAL SKS KURIKULUM</t>
  </si>
  <si>
    <t>Smt</t>
  </si>
  <si>
    <t>Kode MK</t>
  </si>
  <si>
    <t>Nama Mata Kuliah*</t>
  </si>
  <si>
    <t>Bobot sks</t>
  </si>
  <si>
    <t>I</t>
  </si>
  <si>
    <t>ING 301</t>
  </si>
  <si>
    <t>Listening Comprehension I</t>
  </si>
  <si>
    <t>ING 303</t>
  </si>
  <si>
    <t>Pronunciation Practice I</t>
  </si>
  <si>
    <t>ING 308</t>
  </si>
  <si>
    <t xml:space="preserve">Reading I </t>
  </si>
  <si>
    <t>ING 305</t>
  </si>
  <si>
    <t>Structure I</t>
  </si>
  <si>
    <t>ING 318</t>
  </si>
  <si>
    <t>Speaking I</t>
  </si>
  <si>
    <t>ING 313</t>
  </si>
  <si>
    <t>Writing I</t>
  </si>
  <si>
    <t>FKI 201</t>
  </si>
  <si>
    <t>Pengantar Pendidikan</t>
  </si>
  <si>
    <t>UBB 102</t>
  </si>
  <si>
    <t>Pendidikan Pancasila</t>
  </si>
  <si>
    <t>UBB 105</t>
  </si>
  <si>
    <t>Aplikasi Komputer</t>
  </si>
  <si>
    <t>UBB 101</t>
  </si>
  <si>
    <t>Pendidikan Agama</t>
  </si>
  <si>
    <t>Jumlah</t>
  </si>
  <si>
    <t>II</t>
  </si>
  <si>
    <t>ING 302</t>
  </si>
  <si>
    <t>Pronunciation Practice II</t>
  </si>
  <si>
    <t>Listening Comprehension II</t>
  </si>
  <si>
    <t>ING 309</t>
  </si>
  <si>
    <t>Reading II</t>
  </si>
  <si>
    <t>ING 306</t>
  </si>
  <si>
    <t>Structure II</t>
  </si>
  <si>
    <t>ING 319</t>
  </si>
  <si>
    <t>Speaking II</t>
  </si>
  <si>
    <t>ING 314</t>
  </si>
  <si>
    <t>Writing II</t>
  </si>
  <si>
    <t>FKI 202</t>
  </si>
  <si>
    <t>Perkem. Dan Bim. Pes. Didik ( Magang 1)</t>
  </si>
  <si>
    <t>FKI 212</t>
  </si>
  <si>
    <t>Bahasa Indonesia</t>
  </si>
  <si>
    <t>FKI 210</t>
  </si>
  <si>
    <t xml:space="preserve">Olah Raga dan Kesehatan </t>
  </si>
  <si>
    <t>UBB 103</t>
  </si>
  <si>
    <t xml:space="preserve">Pend. Kewarganegaraan </t>
  </si>
  <si>
    <t>FKI 211</t>
  </si>
  <si>
    <t>PLS BS</t>
  </si>
  <si>
    <t>III</t>
  </si>
  <si>
    <t>ING 310</t>
  </si>
  <si>
    <t>Reading III</t>
  </si>
  <si>
    <t>ING 307</t>
  </si>
  <si>
    <t>Structure III</t>
  </si>
  <si>
    <t>ING 320</t>
  </si>
  <si>
    <t>Speaking III</t>
  </si>
  <si>
    <t>ING 315</t>
  </si>
  <si>
    <t>Writing III</t>
  </si>
  <si>
    <t>ING 323</t>
  </si>
  <si>
    <t>English Phonology</t>
  </si>
  <si>
    <t>ING 327</t>
  </si>
  <si>
    <t xml:space="preserve">Introduction to Linguistics </t>
  </si>
  <si>
    <t>FKI 203</t>
  </si>
  <si>
    <t>Kur. Dan Pembelajaran</t>
  </si>
  <si>
    <t>ING 340</t>
  </si>
  <si>
    <t>Principle of translating</t>
  </si>
  <si>
    <t>FKI 204</t>
  </si>
  <si>
    <t>Pengelolaan Pendidikan</t>
  </si>
  <si>
    <t>UBB 104</t>
  </si>
  <si>
    <t>Kewirausahaan</t>
  </si>
  <si>
    <t>IV</t>
  </si>
  <si>
    <t>ING 311</t>
  </si>
  <si>
    <t>Reading IV</t>
  </si>
  <si>
    <t>ING 330</t>
  </si>
  <si>
    <t>Grammar</t>
  </si>
  <si>
    <t>ING 321</t>
  </si>
  <si>
    <t>Speaking IV</t>
  </si>
  <si>
    <t>Writing IV</t>
  </si>
  <si>
    <t>ING 339</t>
  </si>
  <si>
    <t>Seminar Pendidikan Agama</t>
  </si>
  <si>
    <t>ING 324</t>
  </si>
  <si>
    <t>Translation I</t>
  </si>
  <si>
    <t>ING 328</t>
  </si>
  <si>
    <t>Introduction to Literature</t>
  </si>
  <si>
    <t>ING 329</t>
  </si>
  <si>
    <t>Prose</t>
  </si>
  <si>
    <t>V</t>
  </si>
  <si>
    <t>ING 312</t>
  </si>
  <si>
    <t>Reading V</t>
  </si>
  <si>
    <t>ING 322</t>
  </si>
  <si>
    <t>Speaking V</t>
  </si>
  <si>
    <t>ING 317</t>
  </si>
  <si>
    <t>Writing V</t>
  </si>
  <si>
    <t>ING 326</t>
  </si>
  <si>
    <t>English Syntax</t>
  </si>
  <si>
    <t>ING 335</t>
  </si>
  <si>
    <t>Cross Cultural Understanding</t>
  </si>
  <si>
    <t>FKI 205</t>
  </si>
  <si>
    <t>Language Testing</t>
  </si>
  <si>
    <t>ING 325</t>
  </si>
  <si>
    <t>Translation II</t>
  </si>
  <si>
    <t>ING 341</t>
  </si>
  <si>
    <t>Principle of Interpreting</t>
  </si>
  <si>
    <t>FKI 206</t>
  </si>
  <si>
    <t>SBM</t>
  </si>
  <si>
    <t>VI</t>
  </si>
  <si>
    <t>Seminar on ELT</t>
  </si>
  <si>
    <t>ING 332</t>
  </si>
  <si>
    <t>Drama</t>
  </si>
  <si>
    <t>ING 334</t>
  </si>
  <si>
    <t>Sociolinguistics</t>
  </si>
  <si>
    <t>Penelitian Pend. B. Inggris</t>
  </si>
  <si>
    <t>ING 342</t>
  </si>
  <si>
    <t>Translating Eng-Ind</t>
  </si>
  <si>
    <t>ING 344</t>
  </si>
  <si>
    <t>Interpreting Eng-Ind</t>
  </si>
  <si>
    <t>ING 333</t>
  </si>
  <si>
    <t>Extensive Reading</t>
  </si>
  <si>
    <t>ING 331</t>
  </si>
  <si>
    <t>Semantics</t>
  </si>
  <si>
    <t>FKI 207</t>
  </si>
  <si>
    <t>Perencanaan Pengajaran</t>
  </si>
  <si>
    <t>UBB 106</t>
  </si>
  <si>
    <t>KKN</t>
  </si>
  <si>
    <t>VII</t>
  </si>
  <si>
    <t>ING 338</t>
  </si>
  <si>
    <t>Psycholinguistics</t>
  </si>
  <si>
    <t>ING 337</t>
  </si>
  <si>
    <t>Curr. And Mat. Dev</t>
  </si>
  <si>
    <t>ING 343</t>
  </si>
  <si>
    <t>Translating Ind-Eng</t>
  </si>
  <si>
    <t>ING 345</t>
  </si>
  <si>
    <t>Interpreting Ind-Eng</t>
  </si>
  <si>
    <t>ING 336</t>
  </si>
  <si>
    <t>ESP</t>
  </si>
  <si>
    <t>FKI 209</t>
  </si>
  <si>
    <t>PPL( Magang 2)</t>
  </si>
  <si>
    <t>VIII</t>
  </si>
  <si>
    <t>ING 346</t>
  </si>
  <si>
    <t>Skripsi</t>
  </si>
  <si>
    <t>Jumlah Keseluruhan</t>
  </si>
  <si>
    <t xml:space="preserve">MAGANG KEPENDIDIKAN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</si>
</sst>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rgb="FF333333"/>
      <name val="Arial"/>
      <family val="2"/>
    </font>
    <font>
      <sz val="10"/>
      <name val="Calibri"/>
      <family val="2"/>
      <scheme val="minor"/>
    </font>
    <font>
      <b/>
      <sz val="16"/>
      <color theme="1"/>
      <name val="Adobe Caslon Pro Bold"/>
      <family val="1"/>
    </font>
    <font>
      <sz val="11"/>
      <color theme="1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1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4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/>
    <xf numFmtId="0" fontId="2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top" wrapText="1"/>
    </xf>
    <xf numFmtId="0" fontId="0" fillId="0" borderId="0" xfId="0" applyFill="1"/>
    <xf numFmtId="0" fontId="2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/>
    <xf numFmtId="0" fontId="7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13" fillId="0" borderId="0" xfId="0" applyFont="1" applyBorder="1" applyAlignment="1">
      <alignment horizontal="left"/>
    </xf>
    <xf numFmtId="0" fontId="15" fillId="0" borderId="0" xfId="0" applyFont="1"/>
    <xf numFmtId="0" fontId="14" fillId="0" borderId="2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top" wrapText="1"/>
    </xf>
    <xf numFmtId="0" fontId="17" fillId="0" borderId="1" xfId="0" applyFont="1" applyBorder="1"/>
    <xf numFmtId="0" fontId="16" fillId="2" borderId="2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/>
    </xf>
    <xf numFmtId="0" fontId="14" fillId="0" borderId="0" xfId="0" applyFont="1" applyBorder="1" applyAlignment="1"/>
    <xf numFmtId="0" fontId="14" fillId="0" borderId="0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Fill="1" applyBorder="1"/>
    <xf numFmtId="0" fontId="16" fillId="2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5" fillId="0" borderId="0" xfId="0" applyFont="1" applyFill="1"/>
    <xf numFmtId="0" fontId="16" fillId="0" borderId="0" xfId="0" applyFont="1" applyFill="1" applyBorder="1" applyAlignment="1">
      <alignment horizontal="right" vertical="top" wrapText="1"/>
    </xf>
    <xf numFmtId="0" fontId="17" fillId="0" borderId="0" xfId="0" applyFont="1" applyFill="1" applyBorder="1"/>
    <xf numFmtId="0" fontId="16" fillId="0" borderId="0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top" wrapText="1"/>
    </xf>
    <xf numFmtId="0" fontId="20" fillId="0" borderId="0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381000</xdr:rowOff>
    </xdr:from>
    <xdr:to>
      <xdr:col>0</xdr:col>
      <xdr:colOff>10795</xdr:colOff>
      <xdr:row>61</xdr:row>
      <xdr:rowOff>1270</xdr:rowOff>
    </xdr:to>
    <xdr:cxnSp macro="">
      <xdr:nvCxnSpPr>
        <xdr:cNvPr id="3" name="AutoShape 17"/>
        <xdr:cNvCxnSpPr>
          <a:cxnSpLocks noChangeShapeType="1"/>
        </xdr:cNvCxnSpPr>
      </xdr:nvCxnSpPr>
      <xdr:spPr bwMode="auto">
        <a:xfrm flipH="1">
          <a:off x="1404620" y="5688330"/>
          <a:ext cx="10795" cy="1079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topLeftCell="A25" zoomScale="85" zoomScaleNormal="85" workbookViewId="0">
      <selection activeCell="H45" sqref="H45"/>
    </sheetView>
  </sheetViews>
  <sheetFormatPr defaultRowHeight="15" x14ac:dyDescent="0.25"/>
  <cols>
    <col min="1" max="1" width="3.140625" customWidth="1"/>
    <col min="2" max="2" width="16.85546875" customWidth="1"/>
    <col min="3" max="3" width="45.85546875" customWidth="1"/>
    <col min="4" max="4" width="12" customWidth="1"/>
    <col min="5" max="5" width="4" customWidth="1"/>
    <col min="7" max="7" width="13.85546875" customWidth="1"/>
    <col min="8" max="8" width="50.42578125" customWidth="1"/>
    <col min="9" max="9" width="16.140625" customWidth="1"/>
  </cols>
  <sheetData>
    <row r="1" spans="1:9" ht="15" customHeight="1" x14ac:dyDescent="0.25">
      <c r="A1" s="77" t="s">
        <v>24</v>
      </c>
      <c r="B1" s="77"/>
      <c r="C1" s="77"/>
      <c r="D1" s="77"/>
      <c r="E1" s="77"/>
      <c r="F1" s="77"/>
      <c r="G1" s="77"/>
      <c r="H1" s="77"/>
      <c r="I1" s="77"/>
    </row>
    <row r="2" spans="1:9" ht="15" customHeight="1" x14ac:dyDescent="0.25">
      <c r="A2" s="77"/>
      <c r="B2" s="77"/>
      <c r="C2" s="77"/>
      <c r="D2" s="77"/>
      <c r="E2" s="77"/>
      <c r="F2" s="77"/>
      <c r="G2" s="77"/>
      <c r="H2" s="77"/>
      <c r="I2" s="77"/>
    </row>
    <row r="4" spans="1:9" ht="18.75" x14ac:dyDescent="0.3">
      <c r="A4" s="78" t="s">
        <v>22</v>
      </c>
      <c r="B4" s="78"/>
      <c r="C4" s="78"/>
      <c r="D4" s="78"/>
      <c r="F4" s="78" t="s">
        <v>94</v>
      </c>
      <c r="G4" s="78"/>
      <c r="H4" s="78"/>
      <c r="I4" s="78"/>
    </row>
    <row r="5" spans="1:9" ht="30" customHeight="1" x14ac:dyDescent="0.25">
      <c r="A5" s="6" t="s">
        <v>0</v>
      </c>
      <c r="B5" s="6" t="s">
        <v>1</v>
      </c>
      <c r="C5" s="6" t="s">
        <v>2</v>
      </c>
      <c r="D5" s="6" t="s">
        <v>3</v>
      </c>
      <c r="F5" s="6" t="s">
        <v>0</v>
      </c>
      <c r="G5" s="6" t="s">
        <v>1</v>
      </c>
      <c r="H5" s="6" t="s">
        <v>2</v>
      </c>
      <c r="I5" s="6" t="s">
        <v>3</v>
      </c>
    </row>
    <row r="6" spans="1:9" x14ac:dyDescent="0.25">
      <c r="A6" s="2">
        <v>1</v>
      </c>
      <c r="B6" s="2" t="s">
        <v>4</v>
      </c>
      <c r="C6" s="3" t="s">
        <v>5</v>
      </c>
      <c r="D6" s="2">
        <v>2</v>
      </c>
      <c r="F6" s="2">
        <v>1</v>
      </c>
      <c r="G6" s="13" t="s">
        <v>100</v>
      </c>
      <c r="H6" s="12" t="s">
        <v>95</v>
      </c>
      <c r="I6" s="2">
        <v>3</v>
      </c>
    </row>
    <row r="7" spans="1:9" x14ac:dyDescent="0.25">
      <c r="A7" s="2">
        <v>2</v>
      </c>
      <c r="B7" s="2" t="s">
        <v>6</v>
      </c>
      <c r="C7" s="3" t="s">
        <v>7</v>
      </c>
      <c r="D7" s="2">
        <v>2</v>
      </c>
      <c r="F7" s="2">
        <v>2</v>
      </c>
      <c r="G7" s="13" t="s">
        <v>97</v>
      </c>
      <c r="H7" s="12" t="s">
        <v>96</v>
      </c>
      <c r="I7" s="2">
        <v>3</v>
      </c>
    </row>
    <row r="8" spans="1:9" x14ac:dyDescent="0.25">
      <c r="A8" s="2">
        <v>3</v>
      </c>
      <c r="B8" s="2" t="s">
        <v>8</v>
      </c>
      <c r="C8" s="3" t="s">
        <v>9</v>
      </c>
      <c r="D8" s="2">
        <v>2</v>
      </c>
      <c r="F8" s="2">
        <v>3</v>
      </c>
      <c r="G8" s="17" t="s">
        <v>99</v>
      </c>
      <c r="H8" s="12" t="s">
        <v>98</v>
      </c>
      <c r="I8" s="2">
        <v>2</v>
      </c>
    </row>
    <row r="9" spans="1:9" x14ac:dyDescent="0.25">
      <c r="A9" s="2">
        <v>4</v>
      </c>
      <c r="B9" s="2" t="s">
        <v>10</v>
      </c>
      <c r="C9" s="7" t="s">
        <v>11</v>
      </c>
      <c r="D9" s="2">
        <v>2</v>
      </c>
      <c r="F9" s="2">
        <v>4</v>
      </c>
      <c r="G9" s="18" t="s">
        <v>102</v>
      </c>
      <c r="H9" s="15" t="s">
        <v>101</v>
      </c>
      <c r="I9" s="2">
        <v>2</v>
      </c>
    </row>
    <row r="10" spans="1:9" x14ac:dyDescent="0.25">
      <c r="A10" s="2">
        <v>5</v>
      </c>
      <c r="B10" s="2" t="s">
        <v>12</v>
      </c>
      <c r="C10" s="3" t="s">
        <v>13</v>
      </c>
      <c r="D10" s="2">
        <v>2</v>
      </c>
      <c r="F10" s="2">
        <v>5</v>
      </c>
      <c r="G10" s="18" t="s">
        <v>104</v>
      </c>
      <c r="H10" s="15" t="s">
        <v>103</v>
      </c>
      <c r="I10" s="2">
        <v>2</v>
      </c>
    </row>
    <row r="11" spans="1:9" x14ac:dyDescent="0.25">
      <c r="A11" s="2">
        <v>6</v>
      </c>
      <c r="B11" s="2" t="s">
        <v>14</v>
      </c>
      <c r="C11" s="3" t="s">
        <v>15</v>
      </c>
      <c r="D11" s="2">
        <v>2</v>
      </c>
      <c r="F11" s="2">
        <v>6</v>
      </c>
      <c r="G11" s="18" t="s">
        <v>106</v>
      </c>
      <c r="H11" s="15" t="s">
        <v>105</v>
      </c>
      <c r="I11" s="2">
        <v>2</v>
      </c>
    </row>
    <row r="12" spans="1:9" x14ac:dyDescent="0.25">
      <c r="A12" s="2">
        <v>7</v>
      </c>
      <c r="B12" s="2" t="s">
        <v>16</v>
      </c>
      <c r="C12" s="3" t="s">
        <v>17</v>
      </c>
      <c r="D12" s="2">
        <v>2</v>
      </c>
      <c r="F12" s="2">
        <v>7</v>
      </c>
      <c r="G12" s="18" t="s">
        <v>108</v>
      </c>
      <c r="H12" s="15" t="s">
        <v>107</v>
      </c>
      <c r="I12" s="2">
        <v>2</v>
      </c>
    </row>
    <row r="13" spans="1:9" x14ac:dyDescent="0.25">
      <c r="A13" s="2">
        <v>8</v>
      </c>
      <c r="B13" s="2" t="s">
        <v>18</v>
      </c>
      <c r="C13" s="3" t="s">
        <v>19</v>
      </c>
      <c r="D13" s="2">
        <v>2</v>
      </c>
      <c r="F13" s="24">
        <v>8</v>
      </c>
      <c r="G13" s="19" t="s">
        <v>110</v>
      </c>
      <c r="H13" s="14" t="s">
        <v>109</v>
      </c>
      <c r="I13" s="2">
        <v>2</v>
      </c>
    </row>
    <row r="14" spans="1:9" x14ac:dyDescent="0.25">
      <c r="A14" s="4">
        <v>9</v>
      </c>
      <c r="B14" s="4" t="s">
        <v>20</v>
      </c>
      <c r="C14" s="5" t="s">
        <v>21</v>
      </c>
      <c r="D14" s="4">
        <v>3</v>
      </c>
      <c r="F14" s="16">
        <v>9</v>
      </c>
      <c r="G14" s="18" t="s">
        <v>112</v>
      </c>
      <c r="H14" s="15" t="s">
        <v>111</v>
      </c>
      <c r="I14" s="4">
        <v>2</v>
      </c>
    </row>
    <row r="15" spans="1:9" x14ac:dyDescent="0.25">
      <c r="A15" s="79" t="s">
        <v>23</v>
      </c>
      <c r="B15" s="79"/>
      <c r="C15" s="79"/>
      <c r="D15" s="9">
        <f>SUM(D6:D14)</f>
        <v>19</v>
      </c>
      <c r="F15" s="2">
        <v>10</v>
      </c>
      <c r="G15" s="18" t="s">
        <v>114</v>
      </c>
      <c r="H15" s="15" t="s">
        <v>113</v>
      </c>
      <c r="I15" s="9">
        <v>2</v>
      </c>
    </row>
    <row r="16" spans="1:9" x14ac:dyDescent="0.25">
      <c r="F16" s="79" t="s">
        <v>23</v>
      </c>
      <c r="G16" s="79"/>
      <c r="H16" s="79"/>
      <c r="I16" s="20">
        <f>SUM(I6:I15)</f>
        <v>22</v>
      </c>
    </row>
    <row r="17" spans="1:9" x14ac:dyDescent="0.25">
      <c r="F17" s="21"/>
      <c r="G17" s="21"/>
      <c r="H17" s="21"/>
      <c r="I17" s="22"/>
    </row>
    <row r="18" spans="1:9" ht="18.75" x14ac:dyDescent="0.3">
      <c r="A18" s="78" t="s">
        <v>47</v>
      </c>
      <c r="B18" s="78"/>
      <c r="C18" s="78"/>
      <c r="D18" s="78"/>
      <c r="F18" s="78" t="s">
        <v>115</v>
      </c>
      <c r="G18" s="78"/>
      <c r="H18" s="78"/>
      <c r="I18" s="78"/>
    </row>
    <row r="19" spans="1:9" ht="30" customHeight="1" x14ac:dyDescent="0.25">
      <c r="A19" s="8" t="s">
        <v>0</v>
      </c>
      <c r="B19" s="8" t="s">
        <v>1</v>
      </c>
      <c r="C19" s="8" t="s">
        <v>2</v>
      </c>
      <c r="D19" s="8" t="s">
        <v>3</v>
      </c>
      <c r="F19" s="8" t="s">
        <v>0</v>
      </c>
      <c r="G19" s="8" t="s">
        <v>1</v>
      </c>
      <c r="H19" s="8" t="s">
        <v>2</v>
      </c>
      <c r="I19" s="8" t="s">
        <v>3</v>
      </c>
    </row>
    <row r="20" spans="1:9" x14ac:dyDescent="0.25">
      <c r="A20" s="3">
        <v>1</v>
      </c>
      <c r="B20" s="2" t="s">
        <v>25</v>
      </c>
      <c r="C20" s="3" t="s">
        <v>26</v>
      </c>
      <c r="D20" s="2">
        <v>2</v>
      </c>
      <c r="F20" s="25">
        <v>1</v>
      </c>
      <c r="G20" s="15" t="s">
        <v>133</v>
      </c>
      <c r="H20" s="15" t="s">
        <v>116</v>
      </c>
      <c r="I20" s="24">
        <v>3</v>
      </c>
    </row>
    <row r="21" spans="1:9" x14ac:dyDescent="0.25">
      <c r="A21" s="3">
        <v>2</v>
      </c>
      <c r="B21" s="2" t="s">
        <v>27</v>
      </c>
      <c r="C21" s="3" t="s">
        <v>28</v>
      </c>
      <c r="D21" s="2">
        <v>2</v>
      </c>
      <c r="F21" s="27">
        <v>2</v>
      </c>
      <c r="G21" s="15" t="s">
        <v>132</v>
      </c>
      <c r="H21" s="15" t="s">
        <v>117</v>
      </c>
      <c r="I21" s="25">
        <v>3</v>
      </c>
    </row>
    <row r="22" spans="1:9" x14ac:dyDescent="0.25">
      <c r="A22" s="3">
        <v>3</v>
      </c>
      <c r="B22" s="2" t="s">
        <v>29</v>
      </c>
      <c r="C22" s="3" t="s">
        <v>30</v>
      </c>
      <c r="D22" s="2">
        <v>2</v>
      </c>
      <c r="F22" s="25">
        <v>3</v>
      </c>
      <c r="G22" s="15" t="s">
        <v>131</v>
      </c>
      <c r="H22" s="15" t="s">
        <v>118</v>
      </c>
      <c r="I22" s="25">
        <v>3</v>
      </c>
    </row>
    <row r="23" spans="1:9" x14ac:dyDescent="0.25">
      <c r="A23" s="3">
        <v>4</v>
      </c>
      <c r="B23" s="2" t="s">
        <v>31</v>
      </c>
      <c r="C23" s="3" t="s">
        <v>32</v>
      </c>
      <c r="D23" s="2">
        <v>2</v>
      </c>
      <c r="F23" s="25">
        <v>4</v>
      </c>
      <c r="G23" s="15" t="s">
        <v>130</v>
      </c>
      <c r="H23" s="15" t="s">
        <v>119</v>
      </c>
      <c r="I23" s="25">
        <v>2</v>
      </c>
    </row>
    <row r="24" spans="1:9" x14ac:dyDescent="0.25">
      <c r="A24" s="3">
        <v>5</v>
      </c>
      <c r="B24" s="2" t="s">
        <v>33</v>
      </c>
      <c r="C24" s="3" t="s">
        <v>34</v>
      </c>
      <c r="D24" s="2">
        <v>2</v>
      </c>
      <c r="F24" s="27">
        <v>5</v>
      </c>
      <c r="G24" s="15" t="s">
        <v>129</v>
      </c>
      <c r="H24" s="15" t="s">
        <v>120</v>
      </c>
      <c r="I24" s="25">
        <v>2</v>
      </c>
    </row>
    <row r="25" spans="1:9" ht="14.25" customHeight="1" x14ac:dyDescent="0.25">
      <c r="A25" s="3">
        <v>6</v>
      </c>
      <c r="B25" s="2" t="s">
        <v>35</v>
      </c>
      <c r="C25" s="3" t="s">
        <v>36</v>
      </c>
      <c r="D25" s="2">
        <v>2</v>
      </c>
      <c r="F25" s="25">
        <v>6</v>
      </c>
      <c r="G25" s="15" t="s">
        <v>128</v>
      </c>
      <c r="H25" s="15" t="s">
        <v>121</v>
      </c>
      <c r="I25" s="25">
        <v>2</v>
      </c>
    </row>
    <row r="26" spans="1:9" x14ac:dyDescent="0.25">
      <c r="A26" s="3">
        <v>7</v>
      </c>
      <c r="B26" s="2" t="s">
        <v>37</v>
      </c>
      <c r="C26" s="3" t="s">
        <v>38</v>
      </c>
      <c r="D26" s="2">
        <v>2</v>
      </c>
      <c r="F26" s="25">
        <v>7</v>
      </c>
      <c r="G26" s="15" t="s">
        <v>127</v>
      </c>
      <c r="H26" s="15" t="s">
        <v>122</v>
      </c>
      <c r="I26" s="25">
        <v>2</v>
      </c>
    </row>
    <row r="27" spans="1:9" x14ac:dyDescent="0.25">
      <c r="A27" s="3">
        <v>8</v>
      </c>
      <c r="B27" s="2" t="s">
        <v>39</v>
      </c>
      <c r="C27" s="3" t="s">
        <v>40</v>
      </c>
      <c r="D27" s="2">
        <v>2</v>
      </c>
      <c r="F27" s="27">
        <v>8</v>
      </c>
      <c r="G27" s="15" t="s">
        <v>126</v>
      </c>
      <c r="H27" s="15" t="s">
        <v>123</v>
      </c>
      <c r="I27" s="25">
        <v>2</v>
      </c>
    </row>
    <row r="28" spans="1:9" x14ac:dyDescent="0.25">
      <c r="A28" s="3">
        <v>9</v>
      </c>
      <c r="B28" s="2" t="s">
        <v>41</v>
      </c>
      <c r="C28" s="3" t="s">
        <v>42</v>
      </c>
      <c r="D28" s="2">
        <v>2</v>
      </c>
      <c r="F28" s="25">
        <v>9</v>
      </c>
      <c r="G28" s="15" t="s">
        <v>125</v>
      </c>
      <c r="H28" s="15" t="s">
        <v>124</v>
      </c>
      <c r="I28" s="26">
        <v>2</v>
      </c>
    </row>
    <row r="29" spans="1:9" x14ac:dyDescent="0.25">
      <c r="A29" s="3">
        <v>10</v>
      </c>
      <c r="B29" s="2" t="s">
        <v>43</v>
      </c>
      <c r="C29" s="33" t="s">
        <v>44</v>
      </c>
      <c r="D29" s="2">
        <v>3</v>
      </c>
      <c r="F29" s="80" t="s">
        <v>23</v>
      </c>
      <c r="G29" s="81"/>
      <c r="H29" s="82"/>
      <c r="I29" s="20">
        <f>SUM(I20:I28)</f>
        <v>21</v>
      </c>
    </row>
    <row r="30" spans="1:9" x14ac:dyDescent="0.25">
      <c r="A30" s="5">
        <v>11</v>
      </c>
      <c r="B30" s="4" t="s">
        <v>45</v>
      </c>
      <c r="C30" s="5" t="s">
        <v>46</v>
      </c>
      <c r="D30" s="4">
        <v>2</v>
      </c>
    </row>
    <row r="31" spans="1:9" x14ac:dyDescent="0.25">
      <c r="A31" s="79" t="s">
        <v>23</v>
      </c>
      <c r="B31" s="79"/>
      <c r="C31" s="79"/>
      <c r="D31" s="9">
        <f>SUM(D20:D30)</f>
        <v>23</v>
      </c>
      <c r="F31" s="23"/>
      <c r="G31" s="23"/>
      <c r="H31" s="23"/>
      <c r="I31" s="21"/>
    </row>
    <row r="33" spans="1:10" ht="18.75" x14ac:dyDescent="0.3">
      <c r="A33" s="78" t="s">
        <v>70</v>
      </c>
      <c r="B33" s="78"/>
      <c r="C33" s="78"/>
      <c r="D33" s="78"/>
      <c r="F33" s="78" t="s">
        <v>134</v>
      </c>
      <c r="G33" s="78"/>
      <c r="H33" s="78"/>
      <c r="I33" s="78"/>
    </row>
    <row r="34" spans="1:10" ht="30" customHeight="1" x14ac:dyDescent="0.25">
      <c r="A34" s="8" t="s">
        <v>0</v>
      </c>
      <c r="B34" s="8" t="s">
        <v>1</v>
      </c>
      <c r="C34" s="8" t="s">
        <v>2</v>
      </c>
      <c r="D34" s="8" t="s">
        <v>3</v>
      </c>
      <c r="F34" s="8" t="s">
        <v>0</v>
      </c>
      <c r="G34" s="8" t="s">
        <v>1</v>
      </c>
      <c r="H34" s="8" t="s">
        <v>2</v>
      </c>
      <c r="I34" s="8" t="s">
        <v>3</v>
      </c>
    </row>
    <row r="35" spans="1:10" x14ac:dyDescent="0.25">
      <c r="A35" s="2">
        <v>1</v>
      </c>
      <c r="B35" s="2" t="s">
        <v>48</v>
      </c>
      <c r="C35" s="3" t="s">
        <v>49</v>
      </c>
      <c r="D35" s="10">
        <v>2</v>
      </c>
      <c r="F35" s="2">
        <v>1</v>
      </c>
      <c r="G35" s="15" t="s">
        <v>135</v>
      </c>
      <c r="H35" s="47" t="s">
        <v>290</v>
      </c>
      <c r="I35" s="10">
        <v>4</v>
      </c>
    </row>
    <row r="36" spans="1:10" x14ac:dyDescent="0.25">
      <c r="A36" s="2">
        <v>2</v>
      </c>
      <c r="B36" s="2" t="s">
        <v>50</v>
      </c>
      <c r="C36" s="3" t="s">
        <v>51</v>
      </c>
      <c r="D36" s="10">
        <v>2</v>
      </c>
      <c r="F36" s="2">
        <v>2</v>
      </c>
      <c r="G36" s="15" t="s">
        <v>137</v>
      </c>
      <c r="H36" s="15" t="s">
        <v>136</v>
      </c>
      <c r="I36" s="10">
        <v>2</v>
      </c>
    </row>
    <row r="37" spans="1:10" x14ac:dyDescent="0.25">
      <c r="A37" s="2">
        <v>3</v>
      </c>
      <c r="B37" s="2" t="s">
        <v>52</v>
      </c>
      <c r="C37" s="3" t="s">
        <v>53</v>
      </c>
      <c r="D37" s="10">
        <v>2</v>
      </c>
      <c r="F37" s="2">
        <v>3</v>
      </c>
      <c r="G37" s="15" t="s">
        <v>139</v>
      </c>
      <c r="H37" s="15" t="s">
        <v>138</v>
      </c>
      <c r="I37" s="10">
        <v>3</v>
      </c>
    </row>
    <row r="38" spans="1:10" x14ac:dyDescent="0.25">
      <c r="A38" s="2">
        <v>4</v>
      </c>
      <c r="B38" s="2" t="s">
        <v>54</v>
      </c>
      <c r="C38" s="3" t="s">
        <v>55</v>
      </c>
      <c r="D38" s="10">
        <v>2</v>
      </c>
      <c r="F38" s="2">
        <v>4</v>
      </c>
      <c r="G38" s="15" t="s">
        <v>141</v>
      </c>
      <c r="H38" s="15" t="s">
        <v>140</v>
      </c>
      <c r="I38" s="10">
        <v>2</v>
      </c>
    </row>
    <row r="39" spans="1:10" x14ac:dyDescent="0.25">
      <c r="A39" s="2">
        <v>5</v>
      </c>
      <c r="B39" s="2" t="s">
        <v>56</v>
      </c>
      <c r="C39" s="3" t="s">
        <v>57</v>
      </c>
      <c r="D39" s="10">
        <v>2</v>
      </c>
      <c r="F39" s="24">
        <v>5</v>
      </c>
      <c r="G39" s="15" t="s">
        <v>143</v>
      </c>
      <c r="H39" s="15" t="s">
        <v>142</v>
      </c>
      <c r="I39" s="28">
        <v>2</v>
      </c>
    </row>
    <row r="40" spans="1:10" x14ac:dyDescent="0.25">
      <c r="A40" s="2">
        <v>6</v>
      </c>
      <c r="B40" s="2" t="s">
        <v>58</v>
      </c>
      <c r="C40" s="3" t="s">
        <v>59</v>
      </c>
      <c r="D40" s="10">
        <v>2</v>
      </c>
      <c r="F40" s="2">
        <v>6</v>
      </c>
      <c r="G40" s="15" t="s">
        <v>145</v>
      </c>
      <c r="H40" s="15" t="s">
        <v>144</v>
      </c>
      <c r="I40" s="10">
        <v>2</v>
      </c>
    </row>
    <row r="41" spans="1:10" x14ac:dyDescent="0.25">
      <c r="A41" s="2">
        <v>7</v>
      </c>
      <c r="B41" s="2" t="s">
        <v>60</v>
      </c>
      <c r="C41" s="3" t="s">
        <v>61</v>
      </c>
      <c r="D41" s="10">
        <v>2</v>
      </c>
      <c r="F41" s="79" t="s">
        <v>23</v>
      </c>
      <c r="G41" s="79"/>
      <c r="H41" s="79"/>
      <c r="I41" s="9">
        <f>SUM(I35:I40)</f>
        <v>15</v>
      </c>
    </row>
    <row r="42" spans="1:10" x14ac:dyDescent="0.25">
      <c r="A42" s="2">
        <v>8</v>
      </c>
      <c r="B42" s="2" t="s">
        <v>62</v>
      </c>
      <c r="C42" s="3" t="s">
        <v>63</v>
      </c>
      <c r="D42" s="10">
        <v>2</v>
      </c>
      <c r="F42" s="29"/>
      <c r="G42" s="29"/>
      <c r="H42" s="29"/>
      <c r="I42" s="29"/>
    </row>
    <row r="43" spans="1:10" x14ac:dyDescent="0.25">
      <c r="A43" s="2">
        <v>9</v>
      </c>
      <c r="B43" s="2" t="s">
        <v>64</v>
      </c>
      <c r="C43" s="3" t="s">
        <v>65</v>
      </c>
      <c r="D43" s="10">
        <v>2</v>
      </c>
    </row>
    <row r="44" spans="1:10" x14ac:dyDescent="0.25">
      <c r="A44" s="2">
        <v>10</v>
      </c>
      <c r="B44" s="2" t="s">
        <v>66</v>
      </c>
      <c r="C44" s="3" t="s">
        <v>67</v>
      </c>
      <c r="D44" s="10">
        <v>3</v>
      </c>
    </row>
    <row r="45" spans="1:10" x14ac:dyDescent="0.25">
      <c r="A45" s="4">
        <v>11</v>
      </c>
      <c r="B45" s="4" t="s">
        <v>68</v>
      </c>
      <c r="C45" s="34" t="s">
        <v>69</v>
      </c>
      <c r="D45" s="11">
        <v>2</v>
      </c>
      <c r="H45" s="45"/>
      <c r="I45" s="45"/>
      <c r="J45" s="45"/>
    </row>
    <row r="46" spans="1:10" x14ac:dyDescent="0.25">
      <c r="A46" s="79" t="s">
        <v>23</v>
      </c>
      <c r="B46" s="79"/>
      <c r="C46" s="79"/>
      <c r="D46" s="9">
        <f>SUM(D35:D45)</f>
        <v>23</v>
      </c>
      <c r="E46" s="30"/>
      <c r="F46" s="30"/>
      <c r="G46" s="30"/>
      <c r="H46" s="45"/>
      <c r="I46" s="45"/>
      <c r="J46" s="45"/>
    </row>
    <row r="47" spans="1:10" x14ac:dyDescent="0.25">
      <c r="E47" s="30"/>
      <c r="F47" s="31"/>
      <c r="G47" s="32"/>
      <c r="H47" s="32"/>
      <c r="I47" s="46"/>
      <c r="J47" s="45"/>
    </row>
    <row r="48" spans="1:10" ht="18.75" x14ac:dyDescent="0.3">
      <c r="A48" s="78" t="s">
        <v>93</v>
      </c>
      <c r="B48" s="78"/>
      <c r="C48" s="78"/>
      <c r="D48" s="78"/>
      <c r="F48" s="78" t="s">
        <v>148</v>
      </c>
      <c r="G48" s="78"/>
      <c r="H48" s="78"/>
      <c r="I48" s="78"/>
    </row>
    <row r="49" spans="1:9" ht="30" customHeight="1" x14ac:dyDescent="0.25">
      <c r="A49" s="6" t="s">
        <v>0</v>
      </c>
      <c r="B49" s="6" t="s">
        <v>1</v>
      </c>
      <c r="C49" s="6" t="s">
        <v>2</v>
      </c>
      <c r="D49" s="6" t="s">
        <v>3</v>
      </c>
      <c r="F49" s="8" t="s">
        <v>0</v>
      </c>
      <c r="G49" s="8" t="s">
        <v>1</v>
      </c>
      <c r="H49" s="8" t="s">
        <v>2</v>
      </c>
      <c r="I49" s="8" t="s">
        <v>3</v>
      </c>
    </row>
    <row r="50" spans="1:9" x14ac:dyDescent="0.25">
      <c r="A50" s="1">
        <v>1</v>
      </c>
      <c r="B50" s="2" t="s">
        <v>71</v>
      </c>
      <c r="C50" s="3" t="s">
        <v>72</v>
      </c>
      <c r="D50" s="2">
        <v>2</v>
      </c>
      <c r="F50" s="1">
        <v>1</v>
      </c>
      <c r="G50" s="15" t="s">
        <v>147</v>
      </c>
      <c r="H50" s="15" t="s">
        <v>146</v>
      </c>
      <c r="I50" s="10">
        <v>6</v>
      </c>
    </row>
    <row r="51" spans="1:9" x14ac:dyDescent="0.25">
      <c r="A51" s="1">
        <v>2</v>
      </c>
      <c r="B51" s="2" t="s">
        <v>73</v>
      </c>
      <c r="C51" s="3" t="s">
        <v>74</v>
      </c>
      <c r="D51" s="2">
        <v>2</v>
      </c>
      <c r="F51" s="80" t="s">
        <v>23</v>
      </c>
      <c r="G51" s="81"/>
      <c r="H51" s="82"/>
      <c r="I51" s="9">
        <f>SUM(I50)</f>
        <v>6</v>
      </c>
    </row>
    <row r="52" spans="1:9" x14ac:dyDescent="0.25">
      <c r="A52" s="1">
        <v>3</v>
      </c>
      <c r="B52" s="2" t="s">
        <v>75</v>
      </c>
      <c r="C52" s="3" t="s">
        <v>76</v>
      </c>
      <c r="D52" s="2">
        <v>2</v>
      </c>
    </row>
    <row r="53" spans="1:9" x14ac:dyDescent="0.25">
      <c r="A53" s="1">
        <v>4</v>
      </c>
      <c r="B53" s="2" t="s">
        <v>77</v>
      </c>
      <c r="C53" s="3" t="s">
        <v>78</v>
      </c>
      <c r="D53" s="2">
        <v>3</v>
      </c>
    </row>
    <row r="54" spans="1:9" x14ac:dyDescent="0.25">
      <c r="A54" s="1">
        <v>5</v>
      </c>
      <c r="B54" s="2" t="s">
        <v>79</v>
      </c>
      <c r="C54" s="3" t="s">
        <v>80</v>
      </c>
      <c r="D54" s="2">
        <v>2</v>
      </c>
      <c r="F54" s="83" t="s">
        <v>22</v>
      </c>
      <c r="G54" s="83"/>
      <c r="H54" s="48">
        <f>D15</f>
        <v>19</v>
      </c>
    </row>
    <row r="55" spans="1:9" x14ac:dyDescent="0.25">
      <c r="A55" s="1">
        <v>6</v>
      </c>
      <c r="B55" s="2" t="s">
        <v>81</v>
      </c>
      <c r="C55" s="3" t="s">
        <v>82</v>
      </c>
      <c r="D55" s="2">
        <v>2</v>
      </c>
      <c r="F55" s="83" t="s">
        <v>47</v>
      </c>
      <c r="G55" s="83"/>
      <c r="H55" s="48">
        <f>D31</f>
        <v>23</v>
      </c>
    </row>
    <row r="56" spans="1:9" x14ac:dyDescent="0.25">
      <c r="A56" s="1">
        <v>7</v>
      </c>
      <c r="B56" s="2" t="s">
        <v>83</v>
      </c>
      <c r="C56" s="3" t="s">
        <v>84</v>
      </c>
      <c r="D56" s="2">
        <v>2</v>
      </c>
      <c r="F56" s="83" t="s">
        <v>70</v>
      </c>
      <c r="G56" s="83"/>
      <c r="H56" s="48">
        <f>D46</f>
        <v>23</v>
      </c>
    </row>
    <row r="57" spans="1:9" x14ac:dyDescent="0.25">
      <c r="A57" s="1">
        <v>8</v>
      </c>
      <c r="B57" s="2" t="s">
        <v>85</v>
      </c>
      <c r="C57" s="3" t="s">
        <v>86</v>
      </c>
      <c r="D57" s="2">
        <v>2</v>
      </c>
      <c r="F57" s="83" t="s">
        <v>93</v>
      </c>
      <c r="G57" s="83"/>
      <c r="H57" s="48">
        <f>D61</f>
        <v>23</v>
      </c>
    </row>
    <row r="58" spans="1:9" x14ac:dyDescent="0.25">
      <c r="A58" s="1">
        <v>9</v>
      </c>
      <c r="B58" s="2" t="s">
        <v>87</v>
      </c>
      <c r="C58" s="3" t="s">
        <v>88</v>
      </c>
      <c r="D58" s="2">
        <v>2</v>
      </c>
      <c r="F58" s="83" t="s">
        <v>94</v>
      </c>
      <c r="G58" s="83"/>
      <c r="H58" s="48">
        <f>I16</f>
        <v>22</v>
      </c>
    </row>
    <row r="59" spans="1:9" x14ac:dyDescent="0.25">
      <c r="A59" s="1">
        <v>10</v>
      </c>
      <c r="B59" s="2" t="s">
        <v>89</v>
      </c>
      <c r="C59" s="3" t="s">
        <v>90</v>
      </c>
      <c r="D59" s="2">
        <v>2</v>
      </c>
      <c r="F59" s="83" t="s">
        <v>115</v>
      </c>
      <c r="G59" s="83"/>
      <c r="H59" s="48">
        <f>I29</f>
        <v>21</v>
      </c>
    </row>
    <row r="60" spans="1:9" x14ac:dyDescent="0.25">
      <c r="A60" s="1">
        <v>11</v>
      </c>
      <c r="B60" s="2" t="s">
        <v>91</v>
      </c>
      <c r="C60" s="3" t="s">
        <v>92</v>
      </c>
      <c r="D60" s="2">
        <v>2</v>
      </c>
      <c r="F60" s="83" t="s">
        <v>134</v>
      </c>
      <c r="G60" s="83"/>
      <c r="H60" s="48">
        <f>I41</f>
        <v>15</v>
      </c>
    </row>
    <row r="61" spans="1:9" x14ac:dyDescent="0.25">
      <c r="A61" s="79" t="s">
        <v>23</v>
      </c>
      <c r="B61" s="79"/>
      <c r="C61" s="79"/>
      <c r="D61" s="9">
        <f>SUM(D50:D60)</f>
        <v>23</v>
      </c>
      <c r="F61" s="83" t="s">
        <v>148</v>
      </c>
      <c r="G61" s="83"/>
      <c r="H61" s="48">
        <f>I51</f>
        <v>6</v>
      </c>
    </row>
    <row r="62" spans="1:9" x14ac:dyDescent="0.25">
      <c r="F62" s="83" t="s">
        <v>149</v>
      </c>
      <c r="G62" s="83"/>
      <c r="H62" s="48">
        <f>SUM(H54:H61)</f>
        <v>152</v>
      </c>
    </row>
  </sheetData>
  <mergeCells count="26">
    <mergeCell ref="F51:H51"/>
    <mergeCell ref="F62:G62"/>
    <mergeCell ref="F54:G54"/>
    <mergeCell ref="F55:G55"/>
    <mergeCell ref="F56:G56"/>
    <mergeCell ref="F57:G57"/>
    <mergeCell ref="F58:G58"/>
    <mergeCell ref="F59:G59"/>
    <mergeCell ref="F60:G60"/>
    <mergeCell ref="F61:G61"/>
    <mergeCell ref="A61:C61"/>
    <mergeCell ref="A15:C15"/>
    <mergeCell ref="A4:D4"/>
    <mergeCell ref="A31:C31"/>
    <mergeCell ref="A18:D18"/>
    <mergeCell ref="A1:I2"/>
    <mergeCell ref="F4:I4"/>
    <mergeCell ref="A33:D33"/>
    <mergeCell ref="A46:C46"/>
    <mergeCell ref="A48:D48"/>
    <mergeCell ref="F16:H16"/>
    <mergeCell ref="F18:I18"/>
    <mergeCell ref="F33:I33"/>
    <mergeCell ref="F41:H41"/>
    <mergeCell ref="F48:I48"/>
    <mergeCell ref="F29:H29"/>
  </mergeCells>
  <pageMargins left="0.7" right="0.7" top="0.75" bottom="0.75" header="0.3" footer="0.3"/>
  <pageSetup scale="6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0"/>
  <sheetViews>
    <sheetView topLeftCell="A70" workbookViewId="0">
      <selection activeCell="A18" sqref="A18:D29"/>
    </sheetView>
  </sheetViews>
  <sheetFormatPr defaultRowHeight="15" x14ac:dyDescent="0.25"/>
  <cols>
    <col min="3" max="3" width="18.140625" customWidth="1"/>
    <col min="4" max="4" width="27.85546875" customWidth="1"/>
  </cols>
  <sheetData>
    <row r="3" spans="1:5" ht="15.75" thickBot="1" x14ac:dyDescent="0.3"/>
    <row r="4" spans="1:5" ht="31.5" customHeight="1" x14ac:dyDescent="0.25">
      <c r="A4" s="96" t="s">
        <v>150</v>
      </c>
      <c r="B4" s="96" t="s">
        <v>151</v>
      </c>
      <c r="C4" s="96" t="s">
        <v>152</v>
      </c>
      <c r="D4" s="96" t="s">
        <v>153</v>
      </c>
      <c r="E4" s="35"/>
    </row>
    <row r="5" spans="1:5" ht="15.75" thickBot="1" x14ac:dyDescent="0.3">
      <c r="A5" s="97"/>
      <c r="B5" s="97"/>
      <c r="C5" s="97"/>
      <c r="D5" s="97"/>
      <c r="E5" s="35"/>
    </row>
    <row r="6" spans="1:5" ht="16.5" thickBot="1" x14ac:dyDescent="0.3">
      <c r="A6" s="36">
        <v>1</v>
      </c>
      <c r="B6" s="37">
        <v>2</v>
      </c>
      <c r="C6" s="37">
        <v>3</v>
      </c>
      <c r="D6" s="37">
        <v>4</v>
      </c>
      <c r="E6" s="38"/>
    </row>
    <row r="7" spans="1:5" ht="45.75" thickBot="1" x14ac:dyDescent="0.3">
      <c r="A7" s="86" t="s">
        <v>154</v>
      </c>
      <c r="B7" s="39" t="s">
        <v>155</v>
      </c>
      <c r="C7" s="40" t="s">
        <v>156</v>
      </c>
      <c r="D7" s="39">
        <v>2</v>
      </c>
      <c r="E7" s="38"/>
    </row>
    <row r="8" spans="1:5" ht="30.75" thickBot="1" x14ac:dyDescent="0.3">
      <c r="A8" s="87"/>
      <c r="B8" s="39" t="s">
        <v>157</v>
      </c>
      <c r="C8" s="40" t="s">
        <v>158</v>
      </c>
      <c r="D8" s="39">
        <v>2</v>
      </c>
      <c r="E8" s="38"/>
    </row>
    <row r="9" spans="1:5" ht="30.75" thickBot="1" x14ac:dyDescent="0.3">
      <c r="A9" s="87"/>
      <c r="B9" s="39" t="s">
        <v>159</v>
      </c>
      <c r="C9" s="40" t="s">
        <v>160</v>
      </c>
      <c r="D9" s="39">
        <v>2</v>
      </c>
      <c r="E9" s="38"/>
    </row>
    <row r="10" spans="1:5" ht="30.75" thickBot="1" x14ac:dyDescent="0.3">
      <c r="A10" s="87"/>
      <c r="B10" s="39" t="s">
        <v>161</v>
      </c>
      <c r="C10" s="40" t="s">
        <v>162</v>
      </c>
      <c r="D10" s="39">
        <v>2</v>
      </c>
      <c r="E10" s="38"/>
    </row>
    <row r="11" spans="1:5" ht="30.75" thickBot="1" x14ac:dyDescent="0.3">
      <c r="A11" s="87"/>
      <c r="B11" s="39" t="s">
        <v>163</v>
      </c>
      <c r="C11" s="40" t="s">
        <v>164</v>
      </c>
      <c r="D11" s="39">
        <v>2</v>
      </c>
      <c r="E11" s="38"/>
    </row>
    <row r="12" spans="1:5" ht="30.75" thickBot="1" x14ac:dyDescent="0.3">
      <c r="A12" s="87"/>
      <c r="B12" s="39" t="s">
        <v>165</v>
      </c>
      <c r="C12" s="40" t="s">
        <v>166</v>
      </c>
      <c r="D12" s="39">
        <v>2</v>
      </c>
      <c r="E12" s="38"/>
    </row>
    <row r="13" spans="1:5" ht="30.75" thickBot="1" x14ac:dyDescent="0.3">
      <c r="A13" s="87"/>
      <c r="B13" s="39" t="s">
        <v>167</v>
      </c>
      <c r="C13" s="40" t="s">
        <v>168</v>
      </c>
      <c r="D13" s="39">
        <v>3</v>
      </c>
      <c r="E13" s="38"/>
    </row>
    <row r="14" spans="1:5" ht="30.75" thickBot="1" x14ac:dyDescent="0.3">
      <c r="A14" s="87"/>
      <c r="B14" s="41" t="s">
        <v>169</v>
      </c>
      <c r="C14" s="42" t="s">
        <v>170</v>
      </c>
      <c r="D14" s="41">
        <v>2</v>
      </c>
      <c r="E14" s="35"/>
    </row>
    <row r="15" spans="1:5" ht="30.75" thickBot="1" x14ac:dyDescent="0.3">
      <c r="A15" s="87"/>
      <c r="B15" s="39" t="s">
        <v>171</v>
      </c>
      <c r="C15" s="40" t="s">
        <v>172</v>
      </c>
      <c r="D15" s="39">
        <v>2</v>
      </c>
      <c r="E15" s="35"/>
    </row>
    <row r="16" spans="1:5" ht="30.75" thickBot="1" x14ac:dyDescent="0.3">
      <c r="A16" s="87"/>
      <c r="B16" s="39" t="s">
        <v>173</v>
      </c>
      <c r="C16" s="40" t="s">
        <v>174</v>
      </c>
      <c r="D16" s="39">
        <v>2</v>
      </c>
      <c r="E16" s="35"/>
    </row>
    <row r="17" spans="1:5" ht="15.75" thickBot="1" x14ac:dyDescent="0.3">
      <c r="A17" s="88"/>
      <c r="B17" s="89" t="s">
        <v>175</v>
      </c>
      <c r="C17" s="90"/>
      <c r="D17" s="39">
        <v>21</v>
      </c>
      <c r="E17" s="38"/>
    </row>
    <row r="18" spans="1:5" ht="30.75" thickBot="1" x14ac:dyDescent="0.3">
      <c r="A18" s="86" t="s">
        <v>176</v>
      </c>
      <c r="B18" s="39" t="s">
        <v>177</v>
      </c>
      <c r="C18" s="40" t="s">
        <v>178</v>
      </c>
      <c r="D18" s="39">
        <v>2</v>
      </c>
      <c r="E18" s="38"/>
    </row>
    <row r="19" spans="1:5" ht="45.75" thickBot="1" x14ac:dyDescent="0.3">
      <c r="A19" s="87"/>
      <c r="B19" s="39" t="s">
        <v>177</v>
      </c>
      <c r="C19" s="40" t="s">
        <v>179</v>
      </c>
      <c r="D19" s="39">
        <v>2</v>
      </c>
      <c r="E19" s="38"/>
    </row>
    <row r="20" spans="1:5" ht="30.75" thickBot="1" x14ac:dyDescent="0.3">
      <c r="A20" s="87"/>
      <c r="B20" s="39" t="s">
        <v>180</v>
      </c>
      <c r="C20" s="40" t="s">
        <v>181</v>
      </c>
      <c r="D20" s="39">
        <v>2</v>
      </c>
      <c r="E20" s="38"/>
    </row>
    <row r="21" spans="1:5" ht="30.75" thickBot="1" x14ac:dyDescent="0.3">
      <c r="A21" s="87"/>
      <c r="B21" s="39" t="s">
        <v>182</v>
      </c>
      <c r="C21" s="40" t="s">
        <v>183</v>
      </c>
      <c r="D21" s="39">
        <v>2</v>
      </c>
      <c r="E21" s="38"/>
    </row>
    <row r="22" spans="1:5" ht="30.75" thickBot="1" x14ac:dyDescent="0.3">
      <c r="A22" s="87"/>
      <c r="B22" s="39" t="s">
        <v>184</v>
      </c>
      <c r="C22" s="40" t="s">
        <v>185</v>
      </c>
      <c r="D22" s="39">
        <v>2</v>
      </c>
      <c r="E22" s="38"/>
    </row>
    <row r="23" spans="1:5" ht="30.75" thickBot="1" x14ac:dyDescent="0.3">
      <c r="A23" s="87"/>
      <c r="B23" s="39" t="s">
        <v>186</v>
      </c>
      <c r="C23" s="40" t="s">
        <v>187</v>
      </c>
      <c r="D23" s="39">
        <v>2</v>
      </c>
      <c r="E23" s="38"/>
    </row>
    <row r="24" spans="1:5" ht="45.75" thickBot="1" x14ac:dyDescent="0.3">
      <c r="A24" s="87"/>
      <c r="B24" s="39" t="s">
        <v>188</v>
      </c>
      <c r="C24" s="40" t="s">
        <v>189</v>
      </c>
      <c r="D24" s="39">
        <v>3</v>
      </c>
      <c r="E24" s="38"/>
    </row>
    <row r="25" spans="1:5" ht="30.75" thickBot="1" x14ac:dyDescent="0.3">
      <c r="A25" s="87"/>
      <c r="B25" s="39" t="s">
        <v>190</v>
      </c>
      <c r="C25" s="40" t="s">
        <v>191</v>
      </c>
      <c r="D25" s="39">
        <v>2</v>
      </c>
      <c r="E25" s="38"/>
    </row>
    <row r="26" spans="1:5" ht="30.75" thickBot="1" x14ac:dyDescent="0.3">
      <c r="A26" s="87"/>
      <c r="B26" s="39" t="s">
        <v>192</v>
      </c>
      <c r="C26" s="40" t="s">
        <v>193</v>
      </c>
      <c r="D26" s="39">
        <v>1</v>
      </c>
      <c r="E26" s="38"/>
    </row>
    <row r="27" spans="1:5" ht="45.75" thickBot="1" x14ac:dyDescent="0.3">
      <c r="A27" s="87"/>
      <c r="B27" s="39" t="s">
        <v>194</v>
      </c>
      <c r="C27" s="40" t="s">
        <v>195</v>
      </c>
      <c r="D27" s="39">
        <v>2</v>
      </c>
      <c r="E27" s="38"/>
    </row>
    <row r="28" spans="1:5" ht="15.75" thickBot="1" x14ac:dyDescent="0.3">
      <c r="A28" s="87"/>
      <c r="B28" s="39" t="s">
        <v>196</v>
      </c>
      <c r="C28" s="40" t="s">
        <v>197</v>
      </c>
      <c r="D28" s="39">
        <v>2</v>
      </c>
      <c r="E28" s="38"/>
    </row>
    <row r="29" spans="1:5" ht="15.75" thickBot="1" x14ac:dyDescent="0.3">
      <c r="A29" s="88"/>
      <c r="B29" s="89" t="s">
        <v>175</v>
      </c>
      <c r="C29" s="90"/>
      <c r="D29" s="39">
        <v>22</v>
      </c>
      <c r="E29" s="38"/>
    </row>
    <row r="30" spans="1:5" ht="30.75" thickBot="1" x14ac:dyDescent="0.3">
      <c r="A30" s="86" t="s">
        <v>198</v>
      </c>
      <c r="B30" s="39" t="s">
        <v>199</v>
      </c>
      <c r="C30" s="40" t="s">
        <v>200</v>
      </c>
      <c r="D30" s="39">
        <v>2</v>
      </c>
      <c r="E30" s="38"/>
    </row>
    <row r="31" spans="1:5" ht="30.75" thickBot="1" x14ac:dyDescent="0.3">
      <c r="A31" s="87"/>
      <c r="B31" s="39" t="s">
        <v>201</v>
      </c>
      <c r="C31" s="40" t="s">
        <v>202</v>
      </c>
      <c r="D31" s="39">
        <v>2</v>
      </c>
      <c r="E31" s="38"/>
    </row>
    <row r="32" spans="1:5" ht="30.75" thickBot="1" x14ac:dyDescent="0.3">
      <c r="A32" s="87"/>
      <c r="B32" s="39" t="s">
        <v>203</v>
      </c>
      <c r="C32" s="40" t="s">
        <v>204</v>
      </c>
      <c r="D32" s="39">
        <v>2</v>
      </c>
      <c r="E32" s="38"/>
    </row>
    <row r="33" spans="1:5" ht="30.75" thickBot="1" x14ac:dyDescent="0.3">
      <c r="A33" s="87"/>
      <c r="B33" s="39" t="s">
        <v>205</v>
      </c>
      <c r="C33" s="40" t="s">
        <v>206</v>
      </c>
      <c r="D33" s="39">
        <v>2</v>
      </c>
      <c r="E33" s="38"/>
    </row>
    <row r="34" spans="1:5" ht="30.75" thickBot="1" x14ac:dyDescent="0.3">
      <c r="A34" s="87"/>
      <c r="B34" s="39" t="s">
        <v>207</v>
      </c>
      <c r="C34" s="40" t="s">
        <v>208</v>
      </c>
      <c r="D34" s="39">
        <v>2</v>
      </c>
      <c r="E34" s="38"/>
    </row>
    <row r="35" spans="1:5" ht="30.75" thickBot="1" x14ac:dyDescent="0.3">
      <c r="A35" s="87"/>
      <c r="B35" s="39" t="s">
        <v>209</v>
      </c>
      <c r="C35" s="40" t="s">
        <v>210</v>
      </c>
      <c r="D35" s="39">
        <v>2</v>
      </c>
      <c r="E35" s="38"/>
    </row>
    <row r="36" spans="1:5" ht="30.75" thickBot="1" x14ac:dyDescent="0.3">
      <c r="A36" s="87"/>
      <c r="B36" s="39" t="s">
        <v>211</v>
      </c>
      <c r="C36" s="40" t="s">
        <v>212</v>
      </c>
      <c r="D36" s="39">
        <v>3</v>
      </c>
      <c r="E36" s="38"/>
    </row>
    <row r="37" spans="1:5" ht="30.75" thickBot="1" x14ac:dyDescent="0.3">
      <c r="A37" s="87"/>
      <c r="B37" s="39" t="s">
        <v>213</v>
      </c>
      <c r="C37" s="40" t="s">
        <v>214</v>
      </c>
      <c r="D37" s="39">
        <v>2</v>
      </c>
      <c r="E37" s="38"/>
    </row>
    <row r="38" spans="1:5" ht="30.75" thickBot="1" x14ac:dyDescent="0.3">
      <c r="A38" s="87"/>
      <c r="B38" s="39" t="s">
        <v>215</v>
      </c>
      <c r="C38" s="40" t="s">
        <v>216</v>
      </c>
      <c r="D38" s="39">
        <v>3</v>
      </c>
      <c r="E38" s="38"/>
    </row>
    <row r="39" spans="1:5" ht="30.75" thickBot="1" x14ac:dyDescent="0.3">
      <c r="A39" s="87"/>
      <c r="B39" s="39" t="s">
        <v>217</v>
      </c>
      <c r="C39" s="40" t="s">
        <v>218</v>
      </c>
      <c r="D39" s="39">
        <v>2</v>
      </c>
      <c r="E39" s="35"/>
    </row>
    <row r="40" spans="1:5" ht="15.75" thickBot="1" x14ac:dyDescent="0.3">
      <c r="A40" s="88"/>
      <c r="B40" s="89" t="s">
        <v>175</v>
      </c>
      <c r="C40" s="90"/>
      <c r="D40" s="39">
        <v>22</v>
      </c>
      <c r="E40" s="35"/>
    </row>
    <row r="41" spans="1:5" ht="30.75" thickBot="1" x14ac:dyDescent="0.3">
      <c r="A41" s="86" t="s">
        <v>219</v>
      </c>
      <c r="B41" s="39" t="s">
        <v>220</v>
      </c>
      <c r="C41" s="40" t="s">
        <v>221</v>
      </c>
      <c r="D41" s="39">
        <v>2</v>
      </c>
      <c r="E41" s="38"/>
    </row>
    <row r="42" spans="1:5" ht="30.75" thickBot="1" x14ac:dyDescent="0.3">
      <c r="A42" s="87"/>
      <c r="B42" s="39" t="s">
        <v>222</v>
      </c>
      <c r="C42" s="40" t="s">
        <v>223</v>
      </c>
      <c r="D42" s="39">
        <v>2</v>
      </c>
      <c r="E42" s="38"/>
    </row>
    <row r="43" spans="1:5" ht="30.75" thickBot="1" x14ac:dyDescent="0.3">
      <c r="A43" s="87"/>
      <c r="B43" s="39" t="s">
        <v>224</v>
      </c>
      <c r="C43" s="40" t="s">
        <v>225</v>
      </c>
      <c r="D43" s="39">
        <v>2</v>
      </c>
      <c r="E43" s="38"/>
    </row>
    <row r="44" spans="1:5" ht="30.75" thickBot="1" x14ac:dyDescent="0.3">
      <c r="A44" s="87"/>
      <c r="B44" s="39" t="s">
        <v>220</v>
      </c>
      <c r="C44" s="40" t="s">
        <v>226</v>
      </c>
      <c r="D44" s="39">
        <v>2</v>
      </c>
      <c r="E44" s="38"/>
    </row>
    <row r="45" spans="1:5" ht="45.75" thickBot="1" x14ac:dyDescent="0.3">
      <c r="A45" s="87"/>
      <c r="B45" s="39" t="s">
        <v>227</v>
      </c>
      <c r="C45" s="40" t="s">
        <v>228</v>
      </c>
      <c r="D45" s="39">
        <v>2</v>
      </c>
      <c r="E45" s="38"/>
    </row>
    <row r="46" spans="1:5" ht="30.75" thickBot="1" x14ac:dyDescent="0.3">
      <c r="A46" s="87"/>
      <c r="B46" s="41" t="s">
        <v>229</v>
      </c>
      <c r="C46" s="42" t="s">
        <v>230</v>
      </c>
      <c r="D46" s="41">
        <v>2</v>
      </c>
      <c r="E46" s="35"/>
    </row>
    <row r="47" spans="1:5" ht="30.75" thickBot="1" x14ac:dyDescent="0.3">
      <c r="A47" s="87"/>
      <c r="B47" s="41" t="s">
        <v>231</v>
      </c>
      <c r="C47" s="42" t="s">
        <v>232</v>
      </c>
      <c r="D47" s="41">
        <v>2</v>
      </c>
      <c r="E47" s="35"/>
    </row>
    <row r="48" spans="1:5" ht="30.75" thickBot="1" x14ac:dyDescent="0.3">
      <c r="A48" s="87"/>
      <c r="B48" s="41" t="s">
        <v>233</v>
      </c>
      <c r="C48" s="42" t="s">
        <v>234</v>
      </c>
      <c r="D48" s="41">
        <v>2</v>
      </c>
      <c r="E48" s="35"/>
    </row>
    <row r="49" spans="1:5" ht="15.75" thickBot="1" x14ac:dyDescent="0.3">
      <c r="A49" s="88"/>
      <c r="B49" s="94" t="s">
        <v>175</v>
      </c>
      <c r="C49" s="95"/>
      <c r="D49" s="39">
        <v>16</v>
      </c>
      <c r="E49" s="38"/>
    </row>
    <row r="50" spans="1:5" ht="30.75" thickBot="1" x14ac:dyDescent="0.3">
      <c r="A50" s="86" t="s">
        <v>235</v>
      </c>
      <c r="B50" s="39" t="s">
        <v>236</v>
      </c>
      <c r="C50" s="40" t="s">
        <v>237</v>
      </c>
      <c r="D50" s="39">
        <v>2</v>
      </c>
      <c r="E50" s="38"/>
    </row>
    <row r="51" spans="1:5" ht="30.75" thickBot="1" x14ac:dyDescent="0.3">
      <c r="A51" s="87"/>
      <c r="B51" s="39" t="s">
        <v>238</v>
      </c>
      <c r="C51" s="40" t="s">
        <v>239</v>
      </c>
      <c r="D51" s="39">
        <v>2</v>
      </c>
      <c r="E51" s="38"/>
    </row>
    <row r="52" spans="1:5" ht="30.75" thickBot="1" x14ac:dyDescent="0.3">
      <c r="A52" s="87"/>
      <c r="B52" s="39" t="s">
        <v>240</v>
      </c>
      <c r="C52" s="40" t="s">
        <v>241</v>
      </c>
      <c r="D52" s="39">
        <v>2</v>
      </c>
      <c r="E52" s="38"/>
    </row>
    <row r="53" spans="1:5" ht="30.75" thickBot="1" x14ac:dyDescent="0.3">
      <c r="A53" s="87"/>
      <c r="B53" s="39" t="s">
        <v>242</v>
      </c>
      <c r="C53" s="40" t="s">
        <v>243</v>
      </c>
      <c r="D53" s="39">
        <v>2</v>
      </c>
      <c r="E53" s="38"/>
    </row>
    <row r="54" spans="1:5" ht="30.75" thickBot="1" x14ac:dyDescent="0.3">
      <c r="A54" s="87"/>
      <c r="B54" s="39" t="s">
        <v>244</v>
      </c>
      <c r="C54" s="40" t="s">
        <v>245</v>
      </c>
      <c r="D54" s="39">
        <v>2</v>
      </c>
      <c r="E54" s="38"/>
    </row>
    <row r="55" spans="1:5" ht="30.75" thickBot="1" x14ac:dyDescent="0.3">
      <c r="A55" s="87"/>
      <c r="B55" s="39" t="s">
        <v>246</v>
      </c>
      <c r="C55" s="40" t="s">
        <v>247</v>
      </c>
      <c r="D55" s="39">
        <v>4</v>
      </c>
      <c r="E55" s="38"/>
    </row>
    <row r="56" spans="1:5" ht="30.75" thickBot="1" x14ac:dyDescent="0.3">
      <c r="A56" s="87"/>
      <c r="B56" s="39" t="s">
        <v>248</v>
      </c>
      <c r="C56" s="40" t="s">
        <v>249</v>
      </c>
      <c r="D56" s="39">
        <v>2</v>
      </c>
      <c r="E56" s="38"/>
    </row>
    <row r="57" spans="1:5" ht="30.75" thickBot="1" x14ac:dyDescent="0.3">
      <c r="A57" s="87"/>
      <c r="B57" s="39" t="s">
        <v>250</v>
      </c>
      <c r="C57" s="40" t="s">
        <v>251</v>
      </c>
      <c r="D57" s="39">
        <v>2</v>
      </c>
      <c r="E57" s="38"/>
    </row>
    <row r="58" spans="1:5" ht="15.75" thickBot="1" x14ac:dyDescent="0.3">
      <c r="A58" s="87"/>
      <c r="B58" s="41" t="s">
        <v>252</v>
      </c>
      <c r="C58" s="42" t="s">
        <v>253</v>
      </c>
      <c r="D58" s="41">
        <v>4</v>
      </c>
      <c r="E58" s="35"/>
    </row>
    <row r="59" spans="1:5" ht="15.75" thickBot="1" x14ac:dyDescent="0.3">
      <c r="A59" s="88"/>
      <c r="B59" s="94" t="s">
        <v>175</v>
      </c>
      <c r="C59" s="95"/>
      <c r="D59" s="39">
        <v>22</v>
      </c>
      <c r="E59" s="35"/>
    </row>
    <row r="60" spans="1:5" ht="30.75" thickBot="1" x14ac:dyDescent="0.3">
      <c r="A60" s="86" t="s">
        <v>254</v>
      </c>
      <c r="B60" s="39" t="s">
        <v>227</v>
      </c>
      <c r="C60" s="40" t="s">
        <v>255</v>
      </c>
      <c r="D60" s="39">
        <v>2</v>
      </c>
      <c r="E60" s="38"/>
    </row>
    <row r="61" spans="1:5" ht="30.75" thickBot="1" x14ac:dyDescent="0.3">
      <c r="A61" s="87"/>
      <c r="B61" s="39" t="s">
        <v>256</v>
      </c>
      <c r="C61" s="40" t="s">
        <v>257</v>
      </c>
      <c r="D61" s="39">
        <v>2</v>
      </c>
      <c r="E61" s="38"/>
    </row>
    <row r="62" spans="1:5" ht="30.75" thickBot="1" x14ac:dyDescent="0.3">
      <c r="A62" s="87"/>
      <c r="B62" s="39" t="s">
        <v>258</v>
      </c>
      <c r="C62" s="40" t="s">
        <v>259</v>
      </c>
      <c r="D62" s="39">
        <v>2</v>
      </c>
      <c r="E62" s="38"/>
    </row>
    <row r="63" spans="1:5" ht="30.75" thickBot="1" x14ac:dyDescent="0.3">
      <c r="A63" s="87"/>
      <c r="B63" s="39" t="s">
        <v>167</v>
      </c>
      <c r="C63" s="40" t="s">
        <v>260</v>
      </c>
      <c r="D63" s="39">
        <v>3</v>
      </c>
      <c r="E63" s="38"/>
    </row>
    <row r="64" spans="1:5" ht="30.75" thickBot="1" x14ac:dyDescent="0.3">
      <c r="A64" s="87"/>
      <c r="B64" s="39" t="s">
        <v>261</v>
      </c>
      <c r="C64" s="40" t="s">
        <v>262</v>
      </c>
      <c r="D64" s="39">
        <v>2</v>
      </c>
      <c r="E64" s="38"/>
    </row>
    <row r="65" spans="1:5" ht="30.75" thickBot="1" x14ac:dyDescent="0.3">
      <c r="A65" s="87"/>
      <c r="B65" s="39" t="s">
        <v>263</v>
      </c>
      <c r="C65" s="40" t="s">
        <v>264</v>
      </c>
      <c r="D65" s="39">
        <v>2</v>
      </c>
      <c r="E65" s="38"/>
    </row>
    <row r="66" spans="1:5" ht="30.75" thickBot="1" x14ac:dyDescent="0.3">
      <c r="A66" s="87"/>
      <c r="B66" s="41" t="s">
        <v>265</v>
      </c>
      <c r="C66" s="42" t="s">
        <v>266</v>
      </c>
      <c r="D66" s="41">
        <v>2</v>
      </c>
      <c r="E66" s="35"/>
    </row>
    <row r="67" spans="1:5" ht="30.75" thickBot="1" x14ac:dyDescent="0.3">
      <c r="A67" s="87"/>
      <c r="B67" s="41" t="s">
        <v>267</v>
      </c>
      <c r="C67" s="42" t="s">
        <v>268</v>
      </c>
      <c r="D67" s="41">
        <v>2</v>
      </c>
      <c r="E67" s="35"/>
    </row>
    <row r="68" spans="1:5" ht="30.75" thickBot="1" x14ac:dyDescent="0.3">
      <c r="A68" s="87"/>
      <c r="B68" s="41" t="s">
        <v>269</v>
      </c>
      <c r="C68" s="42" t="s">
        <v>270</v>
      </c>
      <c r="D68" s="41">
        <v>3</v>
      </c>
      <c r="E68" s="35"/>
    </row>
    <row r="69" spans="1:5" ht="30.75" thickBot="1" x14ac:dyDescent="0.3">
      <c r="A69" s="87"/>
      <c r="B69" s="39" t="s">
        <v>271</v>
      </c>
      <c r="C69" s="40" t="s">
        <v>272</v>
      </c>
      <c r="D69" s="39">
        <v>3</v>
      </c>
      <c r="E69" s="35"/>
    </row>
    <row r="70" spans="1:5" ht="15.75" thickBot="1" x14ac:dyDescent="0.3">
      <c r="A70" s="88"/>
      <c r="B70" s="89" t="s">
        <v>175</v>
      </c>
      <c r="C70" s="90"/>
      <c r="D70" s="39">
        <v>23</v>
      </c>
      <c r="E70" s="38"/>
    </row>
    <row r="71" spans="1:5" ht="30.75" thickBot="1" x14ac:dyDescent="0.3">
      <c r="A71" s="86" t="s">
        <v>273</v>
      </c>
      <c r="B71" s="39" t="s">
        <v>274</v>
      </c>
      <c r="C71" s="40" t="s">
        <v>275</v>
      </c>
      <c r="D71" s="39">
        <v>2</v>
      </c>
      <c r="E71" s="38"/>
    </row>
    <row r="72" spans="1:5" ht="30.75" thickBot="1" x14ac:dyDescent="0.3">
      <c r="A72" s="87"/>
      <c r="B72" s="39" t="s">
        <v>276</v>
      </c>
      <c r="C72" s="40" t="s">
        <v>277</v>
      </c>
      <c r="D72" s="39">
        <v>3</v>
      </c>
      <c r="E72" s="38"/>
    </row>
    <row r="73" spans="1:5" ht="30.75" thickBot="1" x14ac:dyDescent="0.3">
      <c r="A73" s="87"/>
      <c r="B73" s="39" t="s">
        <v>278</v>
      </c>
      <c r="C73" s="40" t="s">
        <v>279</v>
      </c>
      <c r="D73" s="39">
        <v>2</v>
      </c>
      <c r="E73" s="38"/>
    </row>
    <row r="74" spans="1:5" ht="30.75" thickBot="1" x14ac:dyDescent="0.3">
      <c r="A74" s="87"/>
      <c r="B74" s="39" t="s">
        <v>280</v>
      </c>
      <c r="C74" s="40" t="s">
        <v>281</v>
      </c>
      <c r="D74" s="39">
        <v>2</v>
      </c>
      <c r="E74" s="38"/>
    </row>
    <row r="75" spans="1:5" ht="30.75" thickBot="1" x14ac:dyDescent="0.3">
      <c r="A75" s="87"/>
      <c r="B75" s="41" t="s">
        <v>282</v>
      </c>
      <c r="C75" s="42" t="s">
        <v>283</v>
      </c>
      <c r="D75" s="41">
        <v>2</v>
      </c>
      <c r="E75" s="35"/>
    </row>
    <row r="76" spans="1:5" ht="15.75" thickBot="1" x14ac:dyDescent="0.3">
      <c r="A76" s="88"/>
      <c r="B76" s="41" t="s">
        <v>284</v>
      </c>
      <c r="C76" s="42" t="s">
        <v>285</v>
      </c>
      <c r="D76" s="41">
        <v>4</v>
      </c>
      <c r="E76" s="35"/>
    </row>
    <row r="77" spans="1:5" ht="15.75" thickBot="1" x14ac:dyDescent="0.3">
      <c r="A77" s="91" t="s">
        <v>175</v>
      </c>
      <c r="B77" s="92"/>
      <c r="C77" s="93"/>
      <c r="D77" s="39">
        <v>15</v>
      </c>
      <c r="E77" s="38"/>
    </row>
    <row r="78" spans="1:5" ht="30.75" thickBot="1" x14ac:dyDescent="0.3">
      <c r="A78" s="86" t="s">
        <v>286</v>
      </c>
      <c r="B78" s="39" t="s">
        <v>287</v>
      </c>
      <c r="C78" s="40" t="s">
        <v>288</v>
      </c>
      <c r="D78" s="39">
        <v>6</v>
      </c>
      <c r="E78" s="38"/>
    </row>
    <row r="79" spans="1:5" ht="15.75" thickBot="1" x14ac:dyDescent="0.3">
      <c r="A79" s="88"/>
      <c r="B79" s="89" t="s">
        <v>175</v>
      </c>
      <c r="C79" s="90"/>
      <c r="D79" s="39">
        <v>6</v>
      </c>
      <c r="E79" s="35"/>
    </row>
    <row r="80" spans="1:5" ht="31.5" customHeight="1" thickBot="1" x14ac:dyDescent="0.3">
      <c r="A80" s="43"/>
      <c r="B80" s="84" t="s">
        <v>289</v>
      </c>
      <c r="C80" s="85"/>
      <c r="D80" s="44">
        <v>147</v>
      </c>
      <c r="E80" s="38"/>
    </row>
  </sheetData>
  <mergeCells count="21">
    <mergeCell ref="D4:D5"/>
    <mergeCell ref="A18:A29"/>
    <mergeCell ref="B29:C29"/>
    <mergeCell ref="A41:A49"/>
    <mergeCell ref="B49:C49"/>
    <mergeCell ref="A50:A59"/>
    <mergeCell ref="B59:C59"/>
    <mergeCell ref="A30:A40"/>
    <mergeCell ref="B40:C40"/>
    <mergeCell ref="A4:A5"/>
    <mergeCell ref="B4:B5"/>
    <mergeCell ref="C4:C5"/>
    <mergeCell ref="A7:A17"/>
    <mergeCell ref="B17:C17"/>
    <mergeCell ref="B80:C80"/>
    <mergeCell ref="A60:A70"/>
    <mergeCell ref="B70:C70"/>
    <mergeCell ref="A71:A76"/>
    <mergeCell ref="A77:C77"/>
    <mergeCell ref="A78:A79"/>
    <mergeCell ref="B79:C79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N50"/>
  <sheetViews>
    <sheetView topLeftCell="A4" zoomScale="70" zoomScaleNormal="70" workbookViewId="0">
      <selection activeCell="Q14" activeCellId="2" sqref="G12 M33 Q14"/>
    </sheetView>
  </sheetViews>
  <sheetFormatPr defaultRowHeight="15" x14ac:dyDescent="0.25"/>
  <cols>
    <col min="8" max="8" width="25.28515625" customWidth="1"/>
    <col min="12" max="12" width="10.5703125" bestFit="1" customWidth="1"/>
    <col min="13" max="13" width="43.140625" bestFit="1" customWidth="1"/>
  </cols>
  <sheetData>
    <row r="6" spans="6:14" x14ac:dyDescent="0.25">
      <c r="F6" s="100" t="s">
        <v>47</v>
      </c>
      <c r="G6" s="100"/>
      <c r="H6" s="100"/>
      <c r="I6" s="100"/>
      <c r="J6" s="49"/>
      <c r="K6" s="100" t="s">
        <v>115</v>
      </c>
      <c r="L6" s="100"/>
      <c r="M6" s="100"/>
      <c r="N6" s="100"/>
    </row>
    <row r="7" spans="6:14" x14ac:dyDescent="0.25">
      <c r="F7" s="50" t="s">
        <v>0</v>
      </c>
      <c r="G7" s="50" t="s">
        <v>1</v>
      </c>
      <c r="H7" s="50" t="s">
        <v>2</v>
      </c>
      <c r="I7" s="50" t="s">
        <v>3</v>
      </c>
      <c r="J7" s="49"/>
      <c r="K7" s="50" t="s">
        <v>0</v>
      </c>
      <c r="L7" s="50" t="s">
        <v>1</v>
      </c>
      <c r="M7" s="50" t="s">
        <v>2</v>
      </c>
      <c r="N7" s="50" t="s">
        <v>3</v>
      </c>
    </row>
    <row r="8" spans="6:14" x14ac:dyDescent="0.25">
      <c r="F8" s="51">
        <v>1</v>
      </c>
      <c r="G8" s="52" t="s">
        <v>25</v>
      </c>
      <c r="H8" s="51" t="s">
        <v>26</v>
      </c>
      <c r="I8" s="52">
        <v>2</v>
      </c>
      <c r="J8" s="49"/>
      <c r="K8" s="53">
        <v>1</v>
      </c>
      <c r="L8" s="54" t="s">
        <v>133</v>
      </c>
      <c r="M8" s="54" t="s">
        <v>116</v>
      </c>
      <c r="N8" s="55">
        <v>3</v>
      </c>
    </row>
    <row r="9" spans="6:14" x14ac:dyDescent="0.25">
      <c r="F9" s="51">
        <v>2</v>
      </c>
      <c r="G9" s="52" t="s">
        <v>27</v>
      </c>
      <c r="H9" s="51" t="s">
        <v>28</v>
      </c>
      <c r="I9" s="52">
        <v>2</v>
      </c>
      <c r="J9" s="49"/>
      <c r="K9" s="56">
        <v>2</v>
      </c>
      <c r="L9" s="54" t="s">
        <v>132</v>
      </c>
      <c r="M9" s="54" t="s">
        <v>117</v>
      </c>
      <c r="N9" s="53">
        <v>3</v>
      </c>
    </row>
    <row r="10" spans="6:14" x14ac:dyDescent="0.25">
      <c r="F10" s="51">
        <v>3</v>
      </c>
      <c r="G10" s="52" t="s">
        <v>29</v>
      </c>
      <c r="H10" s="51" t="s">
        <v>30</v>
      </c>
      <c r="I10" s="52">
        <v>2</v>
      </c>
      <c r="J10" s="49"/>
      <c r="K10" s="53">
        <v>3</v>
      </c>
      <c r="L10" s="54" t="s">
        <v>131</v>
      </c>
      <c r="M10" s="54" t="s">
        <v>118</v>
      </c>
      <c r="N10" s="53">
        <v>3</v>
      </c>
    </row>
    <row r="11" spans="6:14" ht="22.5" x14ac:dyDescent="0.25">
      <c r="F11" s="51">
        <v>4</v>
      </c>
      <c r="G11" s="52" t="s">
        <v>31</v>
      </c>
      <c r="H11" s="51" t="s">
        <v>32</v>
      </c>
      <c r="I11" s="52">
        <v>2</v>
      </c>
      <c r="J11" s="49"/>
      <c r="K11" s="53">
        <v>4</v>
      </c>
      <c r="L11" s="54" t="s">
        <v>130</v>
      </c>
      <c r="M11" s="54" t="s">
        <v>119</v>
      </c>
      <c r="N11" s="53">
        <v>2</v>
      </c>
    </row>
    <row r="12" spans="6:14" ht="22.5" x14ac:dyDescent="0.25">
      <c r="F12" s="51">
        <v>5</v>
      </c>
      <c r="G12" s="52" t="s">
        <v>33</v>
      </c>
      <c r="H12" s="51" t="s">
        <v>34</v>
      </c>
      <c r="I12" s="52">
        <v>2</v>
      </c>
      <c r="J12" s="49"/>
      <c r="K12" s="56">
        <v>5</v>
      </c>
      <c r="L12" s="54" t="s">
        <v>129</v>
      </c>
      <c r="M12" s="54" t="s">
        <v>120</v>
      </c>
      <c r="N12" s="53">
        <v>2</v>
      </c>
    </row>
    <row r="13" spans="6:14" ht="22.5" x14ac:dyDescent="0.25">
      <c r="F13" s="51">
        <v>6</v>
      </c>
      <c r="G13" s="52" t="s">
        <v>35</v>
      </c>
      <c r="H13" s="51" t="s">
        <v>36</v>
      </c>
      <c r="I13" s="52">
        <v>2</v>
      </c>
      <c r="J13" s="49"/>
      <c r="K13" s="53">
        <v>6</v>
      </c>
      <c r="L13" s="54" t="s">
        <v>128</v>
      </c>
      <c r="M13" s="54" t="s">
        <v>121</v>
      </c>
      <c r="N13" s="53">
        <v>2</v>
      </c>
    </row>
    <row r="14" spans="6:14" x14ac:dyDescent="0.25">
      <c r="F14" s="51">
        <v>7</v>
      </c>
      <c r="G14" s="52" t="s">
        <v>37</v>
      </c>
      <c r="H14" s="51" t="s">
        <v>38</v>
      </c>
      <c r="I14" s="52">
        <v>2</v>
      </c>
      <c r="J14" s="49"/>
      <c r="K14" s="53">
        <v>7</v>
      </c>
      <c r="L14" s="54" t="s">
        <v>127</v>
      </c>
      <c r="M14" s="54" t="s">
        <v>122</v>
      </c>
      <c r="N14" s="53">
        <v>2</v>
      </c>
    </row>
    <row r="15" spans="6:14" x14ac:dyDescent="0.25">
      <c r="F15" s="51">
        <v>8</v>
      </c>
      <c r="G15" s="52" t="s">
        <v>39</v>
      </c>
      <c r="H15" s="51" t="s">
        <v>40</v>
      </c>
      <c r="I15" s="52">
        <v>2</v>
      </c>
      <c r="J15" s="49"/>
      <c r="K15" s="56">
        <v>8</v>
      </c>
      <c r="L15" s="54" t="s">
        <v>126</v>
      </c>
      <c r="M15" s="54" t="s">
        <v>123</v>
      </c>
      <c r="N15" s="53">
        <v>2</v>
      </c>
    </row>
    <row r="16" spans="6:14" ht="22.5" x14ac:dyDescent="0.25">
      <c r="F16" s="51">
        <v>9</v>
      </c>
      <c r="G16" s="52" t="s">
        <v>41</v>
      </c>
      <c r="H16" s="51" t="s">
        <v>42</v>
      </c>
      <c r="I16" s="52">
        <v>2</v>
      </c>
      <c r="J16" s="49"/>
      <c r="K16" s="53">
        <v>9</v>
      </c>
      <c r="L16" s="54" t="s">
        <v>125</v>
      </c>
      <c r="M16" s="54" t="s">
        <v>124</v>
      </c>
      <c r="N16" s="57">
        <v>2</v>
      </c>
    </row>
    <row r="17" spans="6:14" ht="22.5" x14ac:dyDescent="0.25">
      <c r="F17" s="51">
        <v>10</v>
      </c>
      <c r="G17" s="52" t="s">
        <v>43</v>
      </c>
      <c r="H17" s="51" t="s">
        <v>44</v>
      </c>
      <c r="I17" s="52">
        <v>3</v>
      </c>
      <c r="J17" s="49"/>
      <c r="K17" s="101" t="s">
        <v>23</v>
      </c>
      <c r="L17" s="102"/>
      <c r="M17" s="103"/>
      <c r="N17" s="58">
        <f>SUM(N8:N16)</f>
        <v>21</v>
      </c>
    </row>
    <row r="18" spans="6:14" ht="22.5" x14ac:dyDescent="0.25">
      <c r="F18" s="59">
        <v>11</v>
      </c>
      <c r="G18" s="60" t="s">
        <v>45</v>
      </c>
      <c r="H18" s="59" t="s">
        <v>46</v>
      </c>
      <c r="I18" s="60">
        <v>2</v>
      </c>
      <c r="J18" s="49"/>
      <c r="K18" s="49"/>
      <c r="L18" s="49"/>
      <c r="M18" s="49"/>
      <c r="N18" s="49"/>
    </row>
    <row r="19" spans="6:14" x14ac:dyDescent="0.25">
      <c r="F19" s="98" t="s">
        <v>23</v>
      </c>
      <c r="G19" s="98"/>
      <c r="H19" s="98"/>
      <c r="I19" s="61">
        <f>SUM(I8:I18)</f>
        <v>23</v>
      </c>
      <c r="J19" s="49"/>
      <c r="K19" s="62"/>
      <c r="L19" s="62"/>
      <c r="M19" s="62"/>
      <c r="N19" s="63"/>
    </row>
    <row r="20" spans="6:14" x14ac:dyDescent="0.25">
      <c r="F20" s="49"/>
      <c r="G20" s="49"/>
      <c r="H20" s="49"/>
      <c r="I20" s="49"/>
      <c r="J20" s="49"/>
      <c r="K20" s="49"/>
      <c r="L20" s="49"/>
      <c r="M20" s="49"/>
      <c r="N20" s="49"/>
    </row>
    <row r="21" spans="6:14" x14ac:dyDescent="0.25">
      <c r="F21" s="100" t="s">
        <v>70</v>
      </c>
      <c r="G21" s="100"/>
      <c r="H21" s="100"/>
      <c r="I21" s="100"/>
      <c r="J21" s="49"/>
      <c r="K21" s="100" t="s">
        <v>134</v>
      </c>
      <c r="L21" s="100"/>
      <c r="M21" s="100"/>
      <c r="N21" s="100"/>
    </row>
    <row r="22" spans="6:14" x14ac:dyDescent="0.25">
      <c r="F22" s="50" t="s">
        <v>0</v>
      </c>
      <c r="G22" s="50" t="s">
        <v>1</v>
      </c>
      <c r="H22" s="50" t="s">
        <v>2</v>
      </c>
      <c r="I22" s="50" t="s">
        <v>3</v>
      </c>
      <c r="J22" s="49"/>
      <c r="K22" s="50" t="s">
        <v>0</v>
      </c>
      <c r="L22" s="50" t="s">
        <v>1</v>
      </c>
      <c r="M22" s="50" t="s">
        <v>2</v>
      </c>
      <c r="N22" s="50" t="s">
        <v>3</v>
      </c>
    </row>
    <row r="23" spans="6:14" x14ac:dyDescent="0.25">
      <c r="F23" s="52">
        <v>1</v>
      </c>
      <c r="G23" s="52" t="s">
        <v>48</v>
      </c>
      <c r="H23" s="51" t="s">
        <v>49</v>
      </c>
      <c r="I23" s="64">
        <v>2</v>
      </c>
      <c r="J23" s="49"/>
      <c r="K23" s="52">
        <v>1</v>
      </c>
      <c r="L23" s="54" t="s">
        <v>135</v>
      </c>
      <c r="M23" s="65" t="s">
        <v>290</v>
      </c>
      <c r="N23" s="64">
        <v>4</v>
      </c>
    </row>
    <row r="24" spans="6:14" x14ac:dyDescent="0.25">
      <c r="F24" s="52">
        <v>2</v>
      </c>
      <c r="G24" s="52" t="s">
        <v>50</v>
      </c>
      <c r="H24" s="51" t="s">
        <v>51</v>
      </c>
      <c r="I24" s="64">
        <v>2</v>
      </c>
      <c r="J24" s="49"/>
      <c r="K24" s="52">
        <v>2</v>
      </c>
      <c r="L24" s="54" t="s">
        <v>137</v>
      </c>
      <c r="M24" s="54" t="s">
        <v>136</v>
      </c>
      <c r="N24" s="64">
        <v>2</v>
      </c>
    </row>
    <row r="25" spans="6:14" ht="22.5" x14ac:dyDescent="0.25">
      <c r="F25" s="52">
        <v>3</v>
      </c>
      <c r="G25" s="52" t="s">
        <v>52</v>
      </c>
      <c r="H25" s="51" t="s">
        <v>53</v>
      </c>
      <c r="I25" s="64">
        <v>2</v>
      </c>
      <c r="J25" s="49"/>
      <c r="K25" s="52">
        <v>3</v>
      </c>
      <c r="L25" s="54" t="s">
        <v>139</v>
      </c>
      <c r="M25" s="54" t="s">
        <v>138</v>
      </c>
      <c r="N25" s="64">
        <v>3</v>
      </c>
    </row>
    <row r="26" spans="6:14" ht="22.5" x14ac:dyDescent="0.25">
      <c r="F26" s="52">
        <v>4</v>
      </c>
      <c r="G26" s="52" t="s">
        <v>54</v>
      </c>
      <c r="H26" s="51" t="s">
        <v>55</v>
      </c>
      <c r="I26" s="64">
        <v>2</v>
      </c>
      <c r="J26" s="49"/>
      <c r="K26" s="52">
        <v>4</v>
      </c>
      <c r="L26" s="54" t="s">
        <v>141</v>
      </c>
      <c r="M26" s="54" t="s">
        <v>140</v>
      </c>
      <c r="N26" s="64">
        <v>2</v>
      </c>
    </row>
    <row r="27" spans="6:14" x14ac:dyDescent="0.25">
      <c r="F27" s="52">
        <v>5</v>
      </c>
      <c r="G27" s="52" t="s">
        <v>56</v>
      </c>
      <c r="H27" s="51" t="s">
        <v>57</v>
      </c>
      <c r="I27" s="64">
        <v>2</v>
      </c>
      <c r="J27" s="49"/>
      <c r="K27" s="55">
        <v>5</v>
      </c>
      <c r="L27" s="54" t="s">
        <v>143</v>
      </c>
      <c r="M27" s="54" t="s">
        <v>142</v>
      </c>
      <c r="N27" s="66">
        <v>2</v>
      </c>
    </row>
    <row r="28" spans="6:14" x14ac:dyDescent="0.25">
      <c r="F28" s="52">
        <v>6</v>
      </c>
      <c r="G28" s="52" t="s">
        <v>58</v>
      </c>
      <c r="H28" s="51" t="s">
        <v>59</v>
      </c>
      <c r="I28" s="64">
        <v>2</v>
      </c>
      <c r="J28" s="49"/>
      <c r="K28" s="52">
        <v>6</v>
      </c>
      <c r="L28" s="54" t="s">
        <v>145</v>
      </c>
      <c r="M28" s="54" t="s">
        <v>144</v>
      </c>
      <c r="N28" s="64">
        <v>2</v>
      </c>
    </row>
    <row r="29" spans="6:14" x14ac:dyDescent="0.25">
      <c r="F29" s="52">
        <v>7</v>
      </c>
      <c r="G29" s="52" t="s">
        <v>60</v>
      </c>
      <c r="H29" s="51" t="s">
        <v>61</v>
      </c>
      <c r="I29" s="64">
        <v>2</v>
      </c>
      <c r="J29" s="49"/>
      <c r="K29" s="98" t="s">
        <v>23</v>
      </c>
      <c r="L29" s="98"/>
      <c r="M29" s="98"/>
      <c r="N29" s="61">
        <f>SUM(N23:N28)</f>
        <v>15</v>
      </c>
    </row>
    <row r="30" spans="6:14" x14ac:dyDescent="0.25">
      <c r="F30" s="52">
        <v>8</v>
      </c>
      <c r="G30" s="52" t="s">
        <v>62</v>
      </c>
      <c r="H30" s="51" t="s">
        <v>63</v>
      </c>
      <c r="I30" s="64">
        <v>2</v>
      </c>
      <c r="J30" s="49"/>
      <c r="K30" s="67"/>
      <c r="L30" s="67"/>
      <c r="M30" s="67"/>
      <c r="N30" s="67"/>
    </row>
    <row r="31" spans="6:14" x14ac:dyDescent="0.25">
      <c r="F31" s="52">
        <v>9</v>
      </c>
      <c r="G31" s="52" t="s">
        <v>64</v>
      </c>
      <c r="H31" s="51" t="s">
        <v>65</v>
      </c>
      <c r="I31" s="64">
        <v>2</v>
      </c>
      <c r="J31" s="49"/>
      <c r="K31" s="49"/>
      <c r="L31" s="49"/>
      <c r="M31" s="49"/>
      <c r="N31" s="49"/>
    </row>
    <row r="32" spans="6:14" ht="22.5" x14ac:dyDescent="0.25">
      <c r="F32" s="52">
        <v>10</v>
      </c>
      <c r="G32" s="52" t="s">
        <v>66</v>
      </c>
      <c r="H32" s="51" t="s">
        <v>67</v>
      </c>
      <c r="I32" s="64">
        <v>3</v>
      </c>
      <c r="J32" s="49"/>
      <c r="K32" s="49"/>
      <c r="L32" s="49"/>
      <c r="M32" s="49"/>
      <c r="N32" s="49"/>
    </row>
    <row r="33" spans="6:14" ht="22.5" x14ac:dyDescent="0.25">
      <c r="F33" s="60">
        <v>11</v>
      </c>
      <c r="G33" s="60" t="s">
        <v>68</v>
      </c>
      <c r="H33" s="59" t="s">
        <v>69</v>
      </c>
      <c r="I33" s="68">
        <v>2</v>
      </c>
      <c r="J33" s="49"/>
      <c r="K33" s="49"/>
      <c r="L33" s="49"/>
      <c r="M33" s="69"/>
      <c r="N33" s="69"/>
    </row>
    <row r="34" spans="6:14" x14ac:dyDescent="0.25">
      <c r="F34" s="98" t="s">
        <v>23</v>
      </c>
      <c r="G34" s="98"/>
      <c r="H34" s="98"/>
      <c r="I34" s="61">
        <f>SUM(I23:I33)</f>
        <v>23</v>
      </c>
      <c r="J34" s="70"/>
      <c r="K34" s="70"/>
      <c r="L34" s="70"/>
      <c r="M34" s="69"/>
      <c r="N34" s="69"/>
    </row>
    <row r="35" spans="6:14" x14ac:dyDescent="0.25">
      <c r="F35" s="49"/>
      <c r="G35" s="49"/>
      <c r="H35" s="49"/>
      <c r="I35" s="49"/>
      <c r="J35" s="70"/>
      <c r="K35" s="71"/>
      <c r="L35" s="72"/>
      <c r="M35" s="72"/>
      <c r="N35" s="73"/>
    </row>
    <row r="36" spans="6:14" x14ac:dyDescent="0.25">
      <c r="F36" s="49"/>
      <c r="G36" s="49"/>
      <c r="H36" s="49"/>
      <c r="I36" s="49"/>
      <c r="J36" s="70"/>
      <c r="K36" s="71"/>
      <c r="L36" s="72"/>
      <c r="M36" s="72"/>
      <c r="N36" s="73"/>
    </row>
    <row r="37" spans="6:14" x14ac:dyDescent="0.25">
      <c r="F37" s="100" t="s">
        <v>93</v>
      </c>
      <c r="G37" s="100"/>
      <c r="H37" s="100"/>
      <c r="I37" s="100"/>
      <c r="J37" s="49"/>
      <c r="K37" s="100" t="s">
        <v>148</v>
      </c>
      <c r="L37" s="100"/>
      <c r="M37" s="100"/>
      <c r="N37" s="100"/>
    </row>
    <row r="38" spans="6:14" x14ac:dyDescent="0.25">
      <c r="F38" s="74" t="s">
        <v>0</v>
      </c>
      <c r="G38" s="74" t="s">
        <v>1</v>
      </c>
      <c r="H38" s="74" t="s">
        <v>2</v>
      </c>
      <c r="I38" s="74" t="s">
        <v>3</v>
      </c>
      <c r="J38" s="49"/>
      <c r="K38" s="50" t="s">
        <v>0</v>
      </c>
      <c r="L38" s="50" t="s">
        <v>1</v>
      </c>
      <c r="M38" s="50" t="s">
        <v>2</v>
      </c>
      <c r="N38" s="50" t="s">
        <v>3</v>
      </c>
    </row>
    <row r="39" spans="6:14" x14ac:dyDescent="0.25">
      <c r="F39" s="75">
        <v>1</v>
      </c>
      <c r="G39" s="52" t="s">
        <v>71</v>
      </c>
      <c r="H39" s="51" t="s">
        <v>72</v>
      </c>
      <c r="I39" s="52">
        <v>2</v>
      </c>
      <c r="J39" s="49"/>
      <c r="K39" s="75">
        <v>1</v>
      </c>
      <c r="L39" s="54" t="s">
        <v>147</v>
      </c>
      <c r="M39" s="54" t="s">
        <v>146</v>
      </c>
      <c r="N39" s="64">
        <v>6</v>
      </c>
    </row>
    <row r="40" spans="6:14" ht="22.5" x14ac:dyDescent="0.25">
      <c r="F40" s="75">
        <v>2</v>
      </c>
      <c r="G40" s="52" t="s">
        <v>73</v>
      </c>
      <c r="H40" s="51" t="s">
        <v>74</v>
      </c>
      <c r="I40" s="52">
        <v>2</v>
      </c>
      <c r="J40" s="49"/>
      <c r="K40" s="101" t="s">
        <v>23</v>
      </c>
      <c r="L40" s="102"/>
      <c r="M40" s="103"/>
      <c r="N40" s="61">
        <f>SUM(N39)</f>
        <v>6</v>
      </c>
    </row>
    <row r="41" spans="6:14" ht="22.5" x14ac:dyDescent="0.25">
      <c r="F41" s="75">
        <v>3</v>
      </c>
      <c r="G41" s="52" t="s">
        <v>75</v>
      </c>
      <c r="H41" s="51" t="s">
        <v>76</v>
      </c>
      <c r="I41" s="52">
        <v>2</v>
      </c>
      <c r="J41" s="49"/>
      <c r="K41" s="49"/>
      <c r="L41" s="49"/>
      <c r="M41" s="49"/>
      <c r="N41" s="49"/>
    </row>
    <row r="42" spans="6:14" x14ac:dyDescent="0.25">
      <c r="F42" s="75">
        <v>4</v>
      </c>
      <c r="G42" s="52" t="s">
        <v>77</v>
      </c>
      <c r="H42" s="51" t="s">
        <v>78</v>
      </c>
      <c r="I42" s="52">
        <v>3</v>
      </c>
      <c r="J42" s="49"/>
      <c r="K42" s="49"/>
      <c r="L42" s="49"/>
      <c r="M42" s="49"/>
      <c r="N42" s="49"/>
    </row>
    <row r="43" spans="6:14" ht="22.5" x14ac:dyDescent="0.25">
      <c r="F43" s="75">
        <v>5</v>
      </c>
      <c r="G43" s="52" t="s">
        <v>79</v>
      </c>
      <c r="H43" s="51" t="s">
        <v>80</v>
      </c>
      <c r="I43" s="52">
        <v>2</v>
      </c>
      <c r="J43" s="49"/>
      <c r="K43" s="99" t="s">
        <v>22</v>
      </c>
      <c r="L43" s="99"/>
      <c r="M43" s="76">
        <f>I3</f>
        <v>0</v>
      </c>
      <c r="N43" s="49"/>
    </row>
    <row r="44" spans="6:14" ht="22.5" x14ac:dyDescent="0.25">
      <c r="F44" s="75">
        <v>6</v>
      </c>
      <c r="G44" s="52" t="s">
        <v>81</v>
      </c>
      <c r="H44" s="51" t="s">
        <v>82</v>
      </c>
      <c r="I44" s="52">
        <v>2</v>
      </c>
      <c r="J44" s="49"/>
      <c r="K44" s="99" t="s">
        <v>47</v>
      </c>
      <c r="L44" s="99"/>
      <c r="M44" s="76">
        <f>I19</f>
        <v>23</v>
      </c>
      <c r="N44" s="49"/>
    </row>
    <row r="45" spans="6:14" x14ac:dyDescent="0.25">
      <c r="F45" s="75">
        <v>7</v>
      </c>
      <c r="G45" s="52" t="s">
        <v>83</v>
      </c>
      <c r="H45" s="51" t="s">
        <v>84</v>
      </c>
      <c r="I45" s="52">
        <v>2</v>
      </c>
      <c r="J45" s="49"/>
      <c r="K45" s="99" t="s">
        <v>70</v>
      </c>
      <c r="L45" s="99"/>
      <c r="M45" s="76">
        <f>I34</f>
        <v>23</v>
      </c>
      <c r="N45" s="49"/>
    </row>
    <row r="46" spans="6:14" x14ac:dyDescent="0.25">
      <c r="F46" s="75">
        <v>8</v>
      </c>
      <c r="G46" s="52" t="s">
        <v>85</v>
      </c>
      <c r="H46" s="51" t="s">
        <v>86</v>
      </c>
      <c r="I46" s="52">
        <v>2</v>
      </c>
      <c r="J46" s="49"/>
      <c r="K46" s="99" t="s">
        <v>93</v>
      </c>
      <c r="L46" s="99"/>
      <c r="M46" s="76">
        <f>I50</f>
        <v>23</v>
      </c>
      <c r="N46" s="49"/>
    </row>
    <row r="47" spans="6:14" ht="22.5" x14ac:dyDescent="0.25">
      <c r="F47" s="75">
        <v>9</v>
      </c>
      <c r="G47" s="52" t="s">
        <v>87</v>
      </c>
      <c r="H47" s="51" t="s">
        <v>88</v>
      </c>
      <c r="I47" s="52">
        <v>2</v>
      </c>
      <c r="J47" s="49"/>
      <c r="K47" s="99" t="s">
        <v>94</v>
      </c>
      <c r="L47" s="99"/>
      <c r="M47" s="76">
        <f>N4</f>
        <v>0</v>
      </c>
      <c r="N47" s="49"/>
    </row>
    <row r="48" spans="6:14" x14ac:dyDescent="0.25">
      <c r="F48" s="75">
        <v>10</v>
      </c>
      <c r="G48" s="52" t="s">
        <v>89</v>
      </c>
      <c r="H48" s="51" t="s">
        <v>90</v>
      </c>
      <c r="I48" s="52">
        <v>2</v>
      </c>
      <c r="J48" s="49"/>
      <c r="K48" s="99" t="s">
        <v>115</v>
      </c>
      <c r="L48" s="99"/>
      <c r="M48" s="76">
        <f>N17</f>
        <v>21</v>
      </c>
      <c r="N48" s="49"/>
    </row>
    <row r="49" spans="6:14" ht="22.5" x14ac:dyDescent="0.25">
      <c r="F49" s="75">
        <v>11</v>
      </c>
      <c r="G49" s="52" t="s">
        <v>91</v>
      </c>
      <c r="H49" s="51" t="s">
        <v>92</v>
      </c>
      <c r="I49" s="52">
        <v>2</v>
      </c>
      <c r="J49" s="49"/>
      <c r="K49" s="99" t="s">
        <v>134</v>
      </c>
      <c r="L49" s="99"/>
      <c r="M49" s="76">
        <f>N29</f>
        <v>15</v>
      </c>
      <c r="N49" s="49"/>
    </row>
    <row r="50" spans="6:14" x14ac:dyDescent="0.25">
      <c r="F50" s="98" t="s">
        <v>23</v>
      </c>
      <c r="G50" s="98"/>
      <c r="H50" s="98"/>
      <c r="I50" s="61">
        <f>SUM(I39:I49)</f>
        <v>23</v>
      </c>
      <c r="J50" s="49"/>
      <c r="K50" s="99" t="s">
        <v>148</v>
      </c>
      <c r="L50" s="99"/>
      <c r="M50" s="76">
        <f>N40</f>
        <v>6</v>
      </c>
      <c r="N50" s="49"/>
    </row>
  </sheetData>
  <mergeCells count="20">
    <mergeCell ref="K43:L43"/>
    <mergeCell ref="F6:I6"/>
    <mergeCell ref="K6:N6"/>
    <mergeCell ref="K17:M17"/>
    <mergeCell ref="F19:H19"/>
    <mergeCell ref="F21:I21"/>
    <mergeCell ref="K21:N21"/>
    <mergeCell ref="K29:M29"/>
    <mergeCell ref="F34:H34"/>
    <mergeCell ref="F37:I37"/>
    <mergeCell ref="K37:N37"/>
    <mergeCell ref="K40:M40"/>
    <mergeCell ref="F50:H50"/>
    <mergeCell ref="K50:L50"/>
    <mergeCell ref="K44:L44"/>
    <mergeCell ref="K45:L45"/>
    <mergeCell ref="K46:L46"/>
    <mergeCell ref="K47:L47"/>
    <mergeCell ref="K48:L48"/>
    <mergeCell ref="K49:L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2026-03-07T03:11:56Z</cp:lastPrinted>
  <dcterms:created xsi:type="dcterms:W3CDTF">2025-09-10T09:46:27Z</dcterms:created>
  <dcterms:modified xsi:type="dcterms:W3CDTF">2026-03-07T04:46:39Z</dcterms:modified>
</cp:coreProperties>
</file>